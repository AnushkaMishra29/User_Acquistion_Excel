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Analyzing Marketing Campaign" sheetId="1" r:id="rId5"/>
    <sheet state="visible" name="2.CAC" sheetId="2" r:id="rId6"/>
    <sheet state="visible" name="3.Funnel Analysis" sheetId="3" r:id="rId7"/>
    <sheet state="visible" name="4.Channel Attribution" sheetId="4" r:id="rId8"/>
    <sheet state="visible" name="5.Segmentation by Acquisition S" sheetId="5" r:id="rId9"/>
    <sheet state="visible" name="6.Trend Analysis in Signups" sheetId="6" r:id="rId10"/>
    <sheet state="visible" name="7.AB Testing " sheetId="7" r:id="rId11"/>
    <sheet state="visible" name="8.Discounts on Acquisition" sheetId="8" r:id="rId12"/>
    <sheet state="visible" name="9. Final Analyses" sheetId="9" r:id="rId13"/>
  </sheets>
  <definedNames/>
  <calcPr/>
</workbook>
</file>

<file path=xl/sharedStrings.xml><?xml version="1.0" encoding="utf-8"?>
<sst xmlns="http://schemas.openxmlformats.org/spreadsheetml/2006/main" count="1955" uniqueCount="73">
  <si>
    <t>Campaign</t>
  </si>
  <si>
    <t>Spend</t>
  </si>
  <si>
    <t>Impressions</t>
  </si>
  <si>
    <t>Clicks</t>
  </si>
  <si>
    <t>Signups</t>
  </si>
  <si>
    <t>Purchases</t>
  </si>
  <si>
    <t>Revenue</t>
  </si>
  <si>
    <t>ROI (%)</t>
  </si>
  <si>
    <t>CTR (%)</t>
  </si>
  <si>
    <t>Signup Conversion Rate (%)</t>
  </si>
  <si>
    <t>Purchase Conversion Rate (%)</t>
  </si>
  <si>
    <t>Email</t>
  </si>
  <si>
    <t>Social Media</t>
  </si>
  <si>
    <t>PPC</t>
  </si>
  <si>
    <t>Affiliate</t>
  </si>
  <si>
    <t>Influencer</t>
  </si>
  <si>
    <t>Discount Offered (%)</t>
  </si>
  <si>
    <t>Cost per Signup</t>
  </si>
  <si>
    <t>Cost per Purchase</t>
  </si>
  <si>
    <t>Revenue per Purchase</t>
  </si>
  <si>
    <t>Discount ROI (%)</t>
  </si>
  <si>
    <t>Step</t>
  </si>
  <si>
    <t>Campaign 1</t>
  </si>
  <si>
    <t>Campaign 2</t>
  </si>
  <si>
    <t>Campaign 3</t>
  </si>
  <si>
    <t>Campaign 4</t>
  </si>
  <si>
    <t>Campaign 5</t>
  </si>
  <si>
    <t>Conversion Rate (%)</t>
  </si>
  <si>
    <t>User ID</t>
  </si>
  <si>
    <t>Acquisition Source</t>
  </si>
  <si>
    <t>Touchpoint Order</t>
  </si>
  <si>
    <t>Total_Revenue</t>
  </si>
  <si>
    <t>User_Count</t>
  </si>
  <si>
    <t>Avg_Revenue_Per_User</t>
  </si>
  <si>
    <t>advanced touchpoint analysis</t>
  </si>
  <si>
    <t>Order Value</t>
  </si>
  <si>
    <t>Time to First Purchase (Days)</t>
  </si>
  <si>
    <t>Total_Signups</t>
  </si>
  <si>
    <t>Total_Purchases</t>
  </si>
  <si>
    <t>Average_Order_Value</t>
  </si>
  <si>
    <t>Average_Time_to_Purchase</t>
  </si>
  <si>
    <t>Conversion_Rate</t>
  </si>
  <si>
    <t>Date</t>
  </si>
  <si>
    <t>Date_parse</t>
  </si>
  <si>
    <t>Month</t>
  </si>
  <si>
    <t>No of days</t>
  </si>
  <si>
    <t>Average_Daily_Signups</t>
  </si>
  <si>
    <t>2023-01</t>
  </si>
  <si>
    <t>Group</t>
  </si>
  <si>
    <t>Time on Page (Seconds)</t>
  </si>
  <si>
    <t>A</t>
  </si>
  <si>
    <t>B</t>
  </si>
  <si>
    <t>Total_Users</t>
  </si>
  <si>
    <t>Total_Clicks</t>
  </si>
  <si>
    <t>Avg_Time_on_Page</t>
  </si>
  <si>
    <t>CTR</t>
  </si>
  <si>
    <t>Signup_Rate</t>
  </si>
  <si>
    <t>Purchase_Rate</t>
  </si>
  <si>
    <t>Total_Spend</t>
  </si>
  <si>
    <t>Total_Impressions</t>
  </si>
  <si>
    <t>ROI</t>
  </si>
  <si>
    <t>Impression_To_Click_DropOff</t>
  </si>
  <si>
    <t>ClickToSignup_Dropoff</t>
  </si>
  <si>
    <t>SignupToPurchase_Dropoff</t>
  </si>
  <si>
    <t>LTV</t>
  </si>
  <si>
    <t>A/B TEST ANALYSIS</t>
  </si>
  <si>
    <t>Total Impressions</t>
  </si>
  <si>
    <t>Total Clicks</t>
  </si>
  <si>
    <t>Total Signup</t>
  </si>
  <si>
    <t>Total Purchase</t>
  </si>
  <si>
    <t>Signup Rate</t>
  </si>
  <si>
    <t>Purchase Rate</t>
  </si>
  <si>
    <t>Average Revenue per 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</si>
</sst>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yyyy-mm-dd h:mm:ss"/>
    <numFmt numFmtId="166" formatCode="yyyy-mm"/>
    <numFmt numFmtId="167" formatCode="0.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9" xfId="0" applyFont="1" applyNumberFormat="1"/>
    <xf borderId="0" fillId="0" fontId="1" numFmtId="2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2" xfId="0" applyFont="1" applyNumberFormat="1"/>
    <xf borderId="0" fillId="0" fontId="2" numFmtId="0" xfId="0" applyFont="1"/>
    <xf borderId="0" fillId="0" fontId="3" numFmtId="10" xfId="0" applyFont="1" applyNumberFormat="1"/>
    <xf borderId="0" fillId="0" fontId="2" numFmtId="2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4" xfId="0" applyFont="1" applyNumberFormat="1"/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0" fontId="2" numFmtId="167" xfId="0" applyAlignment="1" applyFont="1" applyNumberFormat="1">
      <alignment readingOrder="0"/>
    </xf>
    <xf borderId="0" fillId="2" fontId="2" numFmtId="10" xfId="0" applyFill="1" applyFont="1" applyNumberFormat="1"/>
    <xf borderId="0" fillId="3" fontId="2" numFmtId="10" xfId="0" applyFill="1" applyFont="1" applyNumberFormat="1"/>
    <xf borderId="0" fillId="4" fontId="2" numFmtId="2" xfId="0" applyFill="1" applyFont="1" applyNumberFormat="1"/>
    <xf borderId="0" fillId="4" fontId="2" numFmtId="0" xfId="0" applyFont="1"/>
    <xf borderId="0" fillId="5" fontId="2" numFmtId="10" xfId="0" applyFill="1" applyFont="1" applyNumberForma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vertical="center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'9. Final Analyses'!$P$1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'9. Final Analyses'!$O$2:$O$1000</c:f>
            </c:strRef>
          </c:cat>
          <c:val>
            <c:numRef>
              <c:f>'9. Final Analyses'!$P$2:$P$1000</c:f>
              <c:numCache/>
            </c:numRef>
          </c:val>
        </c:ser>
        <c:ser>
          <c:idx val="1"/>
          <c:order val="1"/>
          <c:tx>
            <c:strRef>
              <c:f>'9. Final Analyses'!$Q$1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'9. Final Analyses'!$O$2:$O$1000</c:f>
            </c:strRef>
          </c:cat>
          <c:val>
            <c:numRef>
              <c:f>'9. Final Analyses'!$Q$2:$Q$1000</c:f>
              <c:numCache/>
            </c:numRef>
          </c:val>
        </c:ser>
        <c:ser>
          <c:idx val="2"/>
          <c:order val="2"/>
          <c:tx>
            <c:strRef>
              <c:f>'9. Final Analyses'!$R$1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'9. Final Analyses'!$O$2:$O$1000</c:f>
            </c:strRef>
          </c:cat>
          <c:val>
            <c:numRef>
              <c:f>'9. Final Analyses'!$R$2:$R$1000</c:f>
              <c:numCache/>
            </c:numRef>
          </c:val>
        </c:ser>
        <c:ser>
          <c:idx val="3"/>
          <c:order val="3"/>
          <c:tx>
            <c:strRef>
              <c:f>'9. Final Analyses'!$S$1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'9. Final Analyses'!$O$2:$O$1000</c:f>
            </c:strRef>
          </c:cat>
          <c:val>
            <c:numRef>
              <c:f>'9. Final Analyses'!$S$2:$S$1000</c:f>
              <c:numCache/>
            </c:numRef>
          </c:val>
        </c:ser>
        <c:axId val="1707652606"/>
        <c:axId val="1207497276"/>
      </c:barChart>
      <c:catAx>
        <c:axId val="17076526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497276"/>
      </c:catAx>
      <c:valAx>
        <c:axId val="12074972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65260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19050</xdr:colOff>
      <xdr:row>8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5"/>
    <col customWidth="1" min="9" max="9" width="13.63"/>
    <col customWidth="1" min="10" max="10" width="26.75"/>
    <col customWidth="1" min="11" max="11" width="28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/>
      <c r="S1" s="4"/>
    </row>
    <row r="2">
      <c r="A2" s="1" t="s">
        <v>11</v>
      </c>
      <c r="B2" s="5">
        <v>1000.0</v>
      </c>
      <c r="C2" s="6">
        <v>50000.0</v>
      </c>
      <c r="D2" s="6">
        <v>2000.0</v>
      </c>
      <c r="E2" s="6">
        <v>300.0</v>
      </c>
      <c r="F2" s="6">
        <v>100.0</v>
      </c>
      <c r="G2" s="5">
        <v>5000.0</v>
      </c>
      <c r="H2" s="7">
        <f t="shared" ref="H2:H6" si="2">((G2-B2)/B2)</f>
        <v>4</v>
      </c>
      <c r="I2" s="7">
        <f t="shared" ref="I2:K2" si="1">D2/C2</f>
        <v>0.04</v>
      </c>
      <c r="J2" s="7">
        <f t="shared" si="1"/>
        <v>0.15</v>
      </c>
      <c r="K2" s="7">
        <f t="shared" si="1"/>
        <v>0.3333333333</v>
      </c>
    </row>
    <row r="3">
      <c r="A3" s="1" t="s">
        <v>12</v>
      </c>
      <c r="B3" s="5">
        <v>2000.0</v>
      </c>
      <c r="C3" s="6">
        <v>80000.0</v>
      </c>
      <c r="D3" s="6">
        <v>4000.0</v>
      </c>
      <c r="E3" s="6">
        <v>800.0</v>
      </c>
      <c r="F3" s="6">
        <v>300.0</v>
      </c>
      <c r="G3" s="5">
        <v>9000.0</v>
      </c>
      <c r="H3" s="7">
        <f t="shared" si="2"/>
        <v>3.5</v>
      </c>
      <c r="I3" s="7">
        <f t="shared" ref="I3:K3" si="3">D3/C3</f>
        <v>0.05</v>
      </c>
      <c r="J3" s="7">
        <f t="shared" si="3"/>
        <v>0.2</v>
      </c>
      <c r="K3" s="7">
        <f t="shared" si="3"/>
        <v>0.375</v>
      </c>
    </row>
    <row r="4">
      <c r="A4" s="1" t="s">
        <v>13</v>
      </c>
      <c r="B4" s="5">
        <v>5000.0</v>
      </c>
      <c r="C4" s="6">
        <v>200000.0</v>
      </c>
      <c r="D4" s="6">
        <v>10000.0</v>
      </c>
      <c r="E4" s="6">
        <v>1500.0</v>
      </c>
      <c r="F4" s="6">
        <v>800.0</v>
      </c>
      <c r="G4" s="5">
        <v>20000.0</v>
      </c>
      <c r="H4" s="7">
        <f t="shared" si="2"/>
        <v>3</v>
      </c>
      <c r="I4" s="7">
        <f t="shared" ref="I4:K4" si="4">D4/C4</f>
        <v>0.05</v>
      </c>
      <c r="J4" s="7">
        <f t="shared" si="4"/>
        <v>0.15</v>
      </c>
      <c r="K4" s="7">
        <f t="shared" si="4"/>
        <v>0.5333333333</v>
      </c>
    </row>
    <row r="5">
      <c r="A5" s="1" t="s">
        <v>14</v>
      </c>
      <c r="B5" s="5">
        <v>1500.0</v>
      </c>
      <c r="C5" s="6">
        <v>60000.0</v>
      </c>
      <c r="D5" s="6">
        <v>3000.0</v>
      </c>
      <c r="E5" s="6">
        <v>500.0</v>
      </c>
      <c r="F5" s="6">
        <v>200.0</v>
      </c>
      <c r="G5" s="5">
        <v>6000.0</v>
      </c>
      <c r="H5" s="7">
        <f t="shared" si="2"/>
        <v>3</v>
      </c>
      <c r="I5" s="7">
        <f t="shared" ref="I5:K5" si="5">D5/C5</f>
        <v>0.05</v>
      </c>
      <c r="J5" s="7">
        <f t="shared" si="5"/>
        <v>0.1666666667</v>
      </c>
      <c r="K5" s="7">
        <f t="shared" si="5"/>
        <v>0.4</v>
      </c>
    </row>
    <row r="6">
      <c r="A6" s="1" t="s">
        <v>15</v>
      </c>
      <c r="B6" s="5">
        <v>3000.0</v>
      </c>
      <c r="C6" s="6">
        <v>120000.0</v>
      </c>
      <c r="D6" s="6">
        <v>8000.0</v>
      </c>
      <c r="E6" s="6">
        <v>1200.0</v>
      </c>
      <c r="F6" s="6">
        <v>500.0</v>
      </c>
      <c r="G6" s="5">
        <v>12000.0</v>
      </c>
      <c r="H6" s="7">
        <f t="shared" si="2"/>
        <v>3</v>
      </c>
      <c r="I6" s="7">
        <f t="shared" ref="I6:K6" si="6">D6/C6</f>
        <v>0.06666666667</v>
      </c>
      <c r="J6" s="7">
        <f t="shared" si="6"/>
        <v>0.15</v>
      </c>
      <c r="K6" s="7">
        <f t="shared" si="6"/>
        <v>0.4166666667</v>
      </c>
    </row>
    <row r="7">
      <c r="B7" s="8"/>
      <c r="F7" s="9"/>
      <c r="G7" s="8"/>
      <c r="J7" s="10"/>
    </row>
    <row r="8">
      <c r="B8" s="8"/>
      <c r="F8" s="9"/>
      <c r="G8" s="8"/>
      <c r="J8" s="10"/>
    </row>
    <row r="9">
      <c r="B9" s="8"/>
      <c r="F9" s="9"/>
      <c r="G9" s="8"/>
      <c r="J9" s="10"/>
    </row>
    <row r="10">
      <c r="B10" s="8"/>
      <c r="F10" s="9"/>
      <c r="G10" s="8"/>
      <c r="J10" s="10"/>
    </row>
    <row r="11">
      <c r="B11" s="8"/>
      <c r="F11" s="9"/>
      <c r="G11" s="8"/>
      <c r="J11" s="10"/>
    </row>
    <row r="12">
      <c r="B12" s="8"/>
      <c r="F12" s="9"/>
      <c r="G12" s="8"/>
      <c r="J12" s="10"/>
    </row>
    <row r="13">
      <c r="B13" s="8"/>
      <c r="F13" s="9"/>
      <c r="G13" s="8"/>
      <c r="J13" s="10"/>
    </row>
    <row r="14">
      <c r="B14" s="8"/>
      <c r="F14" s="9"/>
      <c r="G14" s="8"/>
      <c r="J14" s="10"/>
    </row>
    <row r="15">
      <c r="B15" s="8"/>
      <c r="F15" s="9"/>
      <c r="G15" s="8"/>
      <c r="J15" s="10"/>
    </row>
    <row r="16">
      <c r="B16" s="8"/>
      <c r="F16" s="9"/>
      <c r="G16" s="8"/>
      <c r="J16" s="10"/>
    </row>
    <row r="17">
      <c r="B17" s="8"/>
      <c r="F17" s="9"/>
      <c r="G17" s="8"/>
      <c r="J17" s="10"/>
    </row>
    <row r="18">
      <c r="B18" s="8"/>
      <c r="F18" s="9"/>
      <c r="G18" s="8"/>
      <c r="J18" s="10"/>
    </row>
    <row r="19">
      <c r="B19" s="8"/>
      <c r="F19" s="9"/>
      <c r="G19" s="8"/>
      <c r="J19" s="10"/>
    </row>
    <row r="20">
      <c r="B20" s="8"/>
      <c r="F20" s="9"/>
      <c r="G20" s="8"/>
      <c r="J20" s="10"/>
    </row>
    <row r="21">
      <c r="B21" s="8"/>
      <c r="F21" s="9"/>
      <c r="G21" s="8"/>
      <c r="J21" s="10"/>
    </row>
    <row r="22">
      <c r="B22" s="8"/>
      <c r="F22" s="9"/>
      <c r="G22" s="8"/>
      <c r="J22" s="10"/>
    </row>
    <row r="23">
      <c r="B23" s="8"/>
      <c r="F23" s="9"/>
      <c r="G23" s="8"/>
      <c r="J23" s="10"/>
    </row>
    <row r="24">
      <c r="B24" s="8"/>
      <c r="F24" s="9"/>
      <c r="G24" s="8"/>
      <c r="J24" s="10"/>
    </row>
    <row r="25">
      <c r="B25" s="8"/>
      <c r="F25" s="9"/>
      <c r="G25" s="8"/>
      <c r="J25" s="10"/>
    </row>
    <row r="26">
      <c r="B26" s="8"/>
      <c r="F26" s="9"/>
      <c r="G26" s="8"/>
      <c r="J26" s="10"/>
    </row>
    <row r="27">
      <c r="B27" s="8"/>
      <c r="F27" s="9"/>
      <c r="G27" s="8"/>
      <c r="J27" s="10"/>
    </row>
    <row r="28">
      <c r="B28" s="8"/>
      <c r="F28" s="9"/>
      <c r="G28" s="8"/>
      <c r="J28" s="10"/>
    </row>
    <row r="29">
      <c r="B29" s="8"/>
      <c r="F29" s="9"/>
      <c r="G29" s="8"/>
      <c r="J29" s="10"/>
    </row>
    <row r="30">
      <c r="B30" s="8"/>
      <c r="F30" s="9"/>
      <c r="G30" s="8"/>
      <c r="J30" s="10"/>
    </row>
    <row r="31">
      <c r="B31" s="8"/>
      <c r="F31" s="9"/>
      <c r="G31" s="8"/>
      <c r="J31" s="10"/>
    </row>
    <row r="32">
      <c r="B32" s="8"/>
      <c r="F32" s="9"/>
      <c r="G32" s="8"/>
      <c r="J32" s="10"/>
    </row>
    <row r="33">
      <c r="B33" s="8"/>
      <c r="F33" s="9"/>
      <c r="G33" s="8"/>
      <c r="J33" s="10"/>
    </row>
    <row r="34">
      <c r="B34" s="8"/>
      <c r="F34" s="9"/>
      <c r="G34" s="8"/>
      <c r="J34" s="10"/>
    </row>
    <row r="35">
      <c r="B35" s="8"/>
      <c r="F35" s="9"/>
      <c r="G35" s="8"/>
      <c r="J35" s="10"/>
    </row>
    <row r="36">
      <c r="B36" s="8"/>
      <c r="F36" s="9"/>
      <c r="G36" s="8"/>
      <c r="J36" s="10"/>
    </row>
    <row r="37">
      <c r="B37" s="8"/>
      <c r="F37" s="9"/>
      <c r="G37" s="8"/>
      <c r="J37" s="10"/>
    </row>
    <row r="38">
      <c r="B38" s="8"/>
      <c r="F38" s="9"/>
      <c r="G38" s="8"/>
      <c r="J38" s="10"/>
    </row>
    <row r="39">
      <c r="B39" s="8"/>
      <c r="F39" s="9"/>
      <c r="G39" s="8"/>
      <c r="J39" s="10"/>
    </row>
    <row r="40">
      <c r="B40" s="8"/>
      <c r="F40" s="9"/>
      <c r="G40" s="8"/>
      <c r="J40" s="10"/>
    </row>
    <row r="41">
      <c r="B41" s="8"/>
      <c r="F41" s="9"/>
      <c r="G41" s="8"/>
      <c r="J41" s="10"/>
    </row>
    <row r="42">
      <c r="B42" s="8"/>
      <c r="F42" s="9"/>
      <c r="G42" s="8"/>
      <c r="J42" s="10"/>
    </row>
    <row r="43">
      <c r="B43" s="8"/>
      <c r="F43" s="9"/>
      <c r="G43" s="8"/>
      <c r="J43" s="10"/>
    </row>
    <row r="44">
      <c r="B44" s="8"/>
      <c r="F44" s="9"/>
      <c r="G44" s="8"/>
      <c r="J44" s="10"/>
    </row>
    <row r="45">
      <c r="B45" s="8"/>
      <c r="F45" s="9"/>
      <c r="G45" s="8"/>
      <c r="J45" s="10"/>
    </row>
    <row r="46">
      <c r="B46" s="8"/>
      <c r="F46" s="9"/>
      <c r="G46" s="8"/>
      <c r="J46" s="10"/>
    </row>
    <row r="47">
      <c r="B47" s="8"/>
      <c r="F47" s="9"/>
      <c r="G47" s="8"/>
      <c r="J47" s="10"/>
    </row>
    <row r="48">
      <c r="B48" s="8"/>
      <c r="F48" s="9"/>
      <c r="G48" s="8"/>
      <c r="J48" s="10"/>
    </row>
    <row r="49">
      <c r="B49" s="8"/>
      <c r="F49" s="9"/>
      <c r="G49" s="8"/>
      <c r="J49" s="10"/>
    </row>
    <row r="50">
      <c r="B50" s="8"/>
      <c r="F50" s="9"/>
      <c r="G50" s="8"/>
      <c r="J50" s="10"/>
    </row>
    <row r="51">
      <c r="B51" s="8"/>
      <c r="F51" s="9"/>
      <c r="G51" s="8"/>
      <c r="J51" s="10"/>
    </row>
    <row r="52">
      <c r="B52" s="8"/>
      <c r="F52" s="9"/>
      <c r="G52" s="8"/>
      <c r="J52" s="10"/>
    </row>
    <row r="53">
      <c r="B53" s="8"/>
      <c r="F53" s="9"/>
      <c r="G53" s="8"/>
      <c r="J53" s="10"/>
    </row>
    <row r="54">
      <c r="B54" s="8"/>
      <c r="F54" s="9"/>
      <c r="G54" s="8"/>
      <c r="J54" s="10"/>
    </row>
    <row r="55">
      <c r="B55" s="8"/>
      <c r="F55" s="9"/>
      <c r="G55" s="8"/>
      <c r="J55" s="10"/>
    </row>
    <row r="56">
      <c r="B56" s="8"/>
      <c r="F56" s="9"/>
      <c r="G56" s="8"/>
      <c r="J56" s="10"/>
    </row>
    <row r="57">
      <c r="B57" s="8"/>
      <c r="F57" s="9"/>
      <c r="G57" s="8"/>
      <c r="J57" s="10"/>
    </row>
    <row r="58">
      <c r="B58" s="8"/>
      <c r="F58" s="9"/>
      <c r="G58" s="8"/>
      <c r="J58" s="10"/>
    </row>
    <row r="59">
      <c r="B59" s="8"/>
      <c r="F59" s="9"/>
      <c r="G59" s="8"/>
      <c r="J59" s="10"/>
    </row>
    <row r="60">
      <c r="B60" s="8"/>
      <c r="F60" s="9"/>
      <c r="G60" s="8"/>
      <c r="J60" s="10"/>
    </row>
    <row r="61">
      <c r="B61" s="8"/>
      <c r="F61" s="9"/>
      <c r="G61" s="8"/>
      <c r="J61" s="10"/>
    </row>
    <row r="62">
      <c r="B62" s="8"/>
      <c r="F62" s="9"/>
      <c r="G62" s="8"/>
      <c r="J62" s="10"/>
    </row>
    <row r="63">
      <c r="B63" s="8"/>
      <c r="F63" s="9"/>
      <c r="G63" s="8"/>
      <c r="J63" s="10"/>
    </row>
    <row r="64">
      <c r="B64" s="8"/>
      <c r="F64" s="9"/>
      <c r="G64" s="8"/>
      <c r="J64" s="10"/>
    </row>
    <row r="65">
      <c r="B65" s="8"/>
      <c r="F65" s="9"/>
      <c r="G65" s="8"/>
      <c r="J65" s="10"/>
    </row>
    <row r="66">
      <c r="B66" s="8"/>
      <c r="F66" s="9"/>
      <c r="G66" s="8"/>
      <c r="J66" s="10"/>
    </row>
    <row r="67">
      <c r="B67" s="8"/>
      <c r="F67" s="9"/>
      <c r="G67" s="8"/>
      <c r="J67" s="10"/>
    </row>
    <row r="68">
      <c r="B68" s="8"/>
      <c r="F68" s="9"/>
      <c r="G68" s="8"/>
      <c r="J68" s="10"/>
    </row>
    <row r="69">
      <c r="B69" s="8"/>
      <c r="F69" s="9"/>
      <c r="G69" s="8"/>
      <c r="J69" s="10"/>
    </row>
    <row r="70">
      <c r="B70" s="8"/>
      <c r="F70" s="9"/>
      <c r="G70" s="8"/>
      <c r="J70" s="10"/>
    </row>
    <row r="71">
      <c r="B71" s="8"/>
      <c r="F71" s="9"/>
      <c r="G71" s="8"/>
      <c r="J71" s="10"/>
    </row>
    <row r="72">
      <c r="B72" s="8"/>
      <c r="F72" s="9"/>
      <c r="G72" s="8"/>
      <c r="J72" s="10"/>
    </row>
    <row r="73">
      <c r="B73" s="8"/>
      <c r="F73" s="9"/>
      <c r="G73" s="8"/>
      <c r="J73" s="10"/>
    </row>
    <row r="74">
      <c r="B74" s="8"/>
      <c r="F74" s="9"/>
      <c r="G74" s="8"/>
      <c r="J74" s="10"/>
    </row>
    <row r="75">
      <c r="B75" s="8"/>
      <c r="F75" s="9"/>
      <c r="G75" s="8"/>
      <c r="J75" s="10"/>
    </row>
    <row r="76">
      <c r="B76" s="8"/>
      <c r="F76" s="9"/>
      <c r="G76" s="8"/>
      <c r="J76" s="10"/>
    </row>
    <row r="77">
      <c r="B77" s="8"/>
      <c r="F77" s="9"/>
      <c r="G77" s="8"/>
      <c r="J77" s="10"/>
    </row>
    <row r="78">
      <c r="B78" s="8"/>
      <c r="F78" s="9"/>
      <c r="G78" s="8"/>
      <c r="J78" s="10"/>
    </row>
    <row r="79">
      <c r="B79" s="8"/>
      <c r="F79" s="9"/>
      <c r="G79" s="8"/>
      <c r="J79" s="10"/>
    </row>
    <row r="80">
      <c r="B80" s="8"/>
      <c r="F80" s="9"/>
      <c r="G80" s="8"/>
      <c r="J80" s="10"/>
    </row>
    <row r="81">
      <c r="B81" s="8"/>
      <c r="F81" s="9"/>
      <c r="G81" s="8"/>
      <c r="J81" s="10"/>
    </row>
    <row r="82">
      <c r="B82" s="8"/>
      <c r="F82" s="9"/>
      <c r="G82" s="8"/>
      <c r="J82" s="10"/>
    </row>
    <row r="83">
      <c r="B83" s="8"/>
      <c r="F83" s="9"/>
      <c r="G83" s="8"/>
      <c r="J83" s="10"/>
    </row>
    <row r="84">
      <c r="B84" s="8"/>
      <c r="F84" s="9"/>
      <c r="G84" s="8"/>
      <c r="J84" s="10"/>
    </row>
    <row r="85">
      <c r="B85" s="8"/>
      <c r="F85" s="9"/>
      <c r="G85" s="8"/>
      <c r="J85" s="10"/>
    </row>
    <row r="86">
      <c r="B86" s="8"/>
      <c r="F86" s="9"/>
      <c r="G86" s="8"/>
      <c r="J86" s="10"/>
    </row>
    <row r="87">
      <c r="B87" s="8"/>
      <c r="F87" s="9"/>
      <c r="G87" s="8"/>
      <c r="J87" s="10"/>
    </row>
    <row r="88">
      <c r="B88" s="8"/>
      <c r="F88" s="9"/>
      <c r="G88" s="8"/>
      <c r="J88" s="10"/>
    </row>
    <row r="89">
      <c r="B89" s="8"/>
      <c r="F89" s="9"/>
      <c r="G89" s="8"/>
      <c r="J89" s="10"/>
    </row>
    <row r="90">
      <c r="B90" s="8"/>
      <c r="F90" s="9"/>
      <c r="G90" s="8"/>
      <c r="J90" s="10"/>
    </row>
    <row r="91">
      <c r="B91" s="8"/>
      <c r="F91" s="9"/>
      <c r="G91" s="8"/>
      <c r="J91" s="10"/>
    </row>
    <row r="92">
      <c r="B92" s="8"/>
      <c r="F92" s="9"/>
      <c r="G92" s="8"/>
      <c r="J92" s="10"/>
    </row>
    <row r="93">
      <c r="B93" s="8"/>
      <c r="F93" s="9"/>
      <c r="G93" s="8"/>
      <c r="J93" s="10"/>
    </row>
    <row r="94">
      <c r="B94" s="8"/>
      <c r="F94" s="9"/>
      <c r="G94" s="8"/>
      <c r="J94" s="10"/>
    </row>
    <row r="95">
      <c r="B95" s="8"/>
      <c r="F95" s="9"/>
      <c r="G95" s="8"/>
      <c r="J95" s="10"/>
    </row>
    <row r="96">
      <c r="B96" s="8"/>
      <c r="F96" s="9"/>
      <c r="G96" s="8"/>
      <c r="J96" s="10"/>
    </row>
    <row r="97">
      <c r="B97" s="8"/>
      <c r="F97" s="9"/>
      <c r="G97" s="8"/>
      <c r="J97" s="10"/>
    </row>
    <row r="98">
      <c r="B98" s="8"/>
      <c r="F98" s="9"/>
      <c r="G98" s="8"/>
      <c r="J98" s="10"/>
    </row>
    <row r="99">
      <c r="B99" s="8"/>
      <c r="F99" s="9"/>
      <c r="G99" s="8"/>
      <c r="J99" s="10"/>
    </row>
    <row r="100">
      <c r="B100" s="8"/>
      <c r="F100" s="9"/>
      <c r="G100" s="8"/>
      <c r="J100" s="10"/>
    </row>
    <row r="101">
      <c r="B101" s="8"/>
      <c r="F101" s="9"/>
      <c r="G101" s="8"/>
      <c r="J101" s="10"/>
    </row>
    <row r="102">
      <c r="B102" s="8"/>
      <c r="F102" s="9"/>
      <c r="G102" s="8"/>
      <c r="J102" s="10"/>
    </row>
    <row r="103">
      <c r="B103" s="8"/>
      <c r="F103" s="9"/>
      <c r="G103" s="8"/>
      <c r="J103" s="10"/>
    </row>
    <row r="104">
      <c r="B104" s="8"/>
      <c r="F104" s="9"/>
      <c r="G104" s="8"/>
      <c r="J104" s="10"/>
    </row>
    <row r="105">
      <c r="B105" s="8"/>
      <c r="F105" s="9"/>
      <c r="G105" s="8"/>
      <c r="J105" s="10"/>
    </row>
    <row r="106">
      <c r="B106" s="8"/>
      <c r="F106" s="9"/>
      <c r="G106" s="8"/>
      <c r="J106" s="10"/>
    </row>
    <row r="107">
      <c r="B107" s="8"/>
      <c r="F107" s="9"/>
      <c r="G107" s="8"/>
      <c r="J107" s="10"/>
    </row>
    <row r="108">
      <c r="B108" s="8"/>
      <c r="F108" s="9"/>
      <c r="G108" s="8"/>
      <c r="J108" s="10"/>
    </row>
    <row r="109">
      <c r="B109" s="8"/>
      <c r="F109" s="9"/>
      <c r="G109" s="8"/>
      <c r="J109" s="10"/>
    </row>
    <row r="110">
      <c r="B110" s="8"/>
      <c r="F110" s="9"/>
      <c r="G110" s="8"/>
      <c r="J110" s="10"/>
    </row>
    <row r="111">
      <c r="B111" s="8"/>
      <c r="F111" s="9"/>
      <c r="G111" s="8"/>
      <c r="J111" s="10"/>
    </row>
    <row r="112">
      <c r="B112" s="8"/>
      <c r="F112" s="9"/>
      <c r="G112" s="8"/>
      <c r="J112" s="10"/>
    </row>
    <row r="113">
      <c r="B113" s="8"/>
      <c r="F113" s="9"/>
      <c r="G113" s="8"/>
      <c r="J113" s="10"/>
    </row>
    <row r="114">
      <c r="B114" s="8"/>
      <c r="F114" s="9"/>
      <c r="G114" s="8"/>
      <c r="J114" s="10"/>
    </row>
    <row r="115">
      <c r="B115" s="8"/>
      <c r="F115" s="9"/>
      <c r="G115" s="8"/>
      <c r="J115" s="10"/>
    </row>
    <row r="116">
      <c r="B116" s="8"/>
      <c r="F116" s="9"/>
      <c r="G116" s="8"/>
      <c r="J116" s="10"/>
    </row>
    <row r="117">
      <c r="B117" s="8"/>
      <c r="F117" s="9"/>
      <c r="G117" s="8"/>
      <c r="J117" s="10"/>
    </row>
    <row r="118">
      <c r="B118" s="8"/>
      <c r="F118" s="9"/>
      <c r="G118" s="8"/>
      <c r="J118" s="10"/>
    </row>
    <row r="119">
      <c r="B119" s="8"/>
      <c r="F119" s="9"/>
      <c r="G119" s="8"/>
      <c r="J119" s="10"/>
    </row>
    <row r="120">
      <c r="B120" s="8"/>
      <c r="F120" s="9"/>
      <c r="G120" s="8"/>
      <c r="J120" s="10"/>
    </row>
    <row r="121">
      <c r="B121" s="8"/>
      <c r="F121" s="9"/>
      <c r="G121" s="8"/>
      <c r="J121" s="10"/>
    </row>
    <row r="122">
      <c r="B122" s="8"/>
      <c r="F122" s="9"/>
      <c r="G122" s="8"/>
      <c r="J122" s="10"/>
    </row>
    <row r="123">
      <c r="B123" s="8"/>
      <c r="F123" s="9"/>
      <c r="G123" s="8"/>
      <c r="J123" s="10"/>
    </row>
    <row r="124">
      <c r="B124" s="8"/>
      <c r="F124" s="9"/>
      <c r="G124" s="8"/>
      <c r="J124" s="10"/>
    </row>
    <row r="125">
      <c r="B125" s="8"/>
      <c r="F125" s="9"/>
      <c r="G125" s="8"/>
      <c r="J125" s="10"/>
    </row>
    <row r="126">
      <c r="B126" s="8"/>
      <c r="F126" s="9"/>
      <c r="G126" s="8"/>
      <c r="J126" s="10"/>
    </row>
    <row r="127">
      <c r="B127" s="8"/>
      <c r="F127" s="9"/>
      <c r="G127" s="8"/>
      <c r="J127" s="10"/>
    </row>
    <row r="128">
      <c r="B128" s="8"/>
      <c r="F128" s="9"/>
      <c r="G128" s="8"/>
      <c r="J128" s="10"/>
    </row>
    <row r="129">
      <c r="B129" s="8"/>
      <c r="F129" s="9"/>
      <c r="G129" s="8"/>
      <c r="J129" s="10"/>
    </row>
    <row r="130">
      <c r="B130" s="8"/>
      <c r="F130" s="9"/>
      <c r="G130" s="8"/>
      <c r="J130" s="10"/>
    </row>
    <row r="131">
      <c r="B131" s="8"/>
      <c r="F131" s="9"/>
      <c r="G131" s="8"/>
      <c r="J131" s="10"/>
    </row>
    <row r="132">
      <c r="B132" s="8"/>
      <c r="F132" s="9"/>
      <c r="G132" s="8"/>
      <c r="J132" s="10"/>
    </row>
    <row r="133">
      <c r="B133" s="8"/>
      <c r="F133" s="9"/>
      <c r="G133" s="8"/>
      <c r="J133" s="10"/>
    </row>
    <row r="134">
      <c r="B134" s="8"/>
      <c r="F134" s="9"/>
      <c r="G134" s="8"/>
      <c r="J134" s="10"/>
    </row>
    <row r="135">
      <c r="B135" s="8"/>
      <c r="F135" s="9"/>
      <c r="G135" s="8"/>
      <c r="J135" s="10"/>
    </row>
    <row r="136">
      <c r="B136" s="8"/>
      <c r="F136" s="9"/>
      <c r="G136" s="8"/>
      <c r="J136" s="10"/>
    </row>
    <row r="137">
      <c r="B137" s="8"/>
      <c r="F137" s="9"/>
      <c r="G137" s="8"/>
      <c r="J137" s="10"/>
    </row>
    <row r="138">
      <c r="B138" s="8"/>
      <c r="F138" s="9"/>
      <c r="G138" s="8"/>
      <c r="J138" s="10"/>
    </row>
    <row r="139">
      <c r="B139" s="8"/>
      <c r="F139" s="9"/>
      <c r="G139" s="8"/>
      <c r="J139" s="10"/>
    </row>
    <row r="140">
      <c r="B140" s="8"/>
      <c r="F140" s="9"/>
      <c r="G140" s="8"/>
      <c r="J140" s="10"/>
    </row>
    <row r="141">
      <c r="B141" s="8"/>
      <c r="F141" s="9"/>
      <c r="G141" s="8"/>
      <c r="J141" s="10"/>
    </row>
    <row r="142">
      <c r="B142" s="8"/>
      <c r="F142" s="9"/>
      <c r="G142" s="8"/>
      <c r="J142" s="10"/>
    </row>
    <row r="143">
      <c r="B143" s="8"/>
      <c r="F143" s="9"/>
      <c r="G143" s="8"/>
      <c r="J143" s="10"/>
    </row>
    <row r="144">
      <c r="B144" s="8"/>
      <c r="F144" s="9"/>
      <c r="G144" s="8"/>
      <c r="J144" s="10"/>
    </row>
    <row r="145">
      <c r="B145" s="8"/>
      <c r="F145" s="9"/>
      <c r="G145" s="8"/>
      <c r="J145" s="10"/>
    </row>
    <row r="146">
      <c r="B146" s="8"/>
      <c r="F146" s="9"/>
      <c r="G146" s="8"/>
      <c r="J146" s="10"/>
    </row>
    <row r="147">
      <c r="B147" s="8"/>
      <c r="F147" s="9"/>
      <c r="G147" s="8"/>
      <c r="J147" s="10"/>
    </row>
    <row r="148">
      <c r="B148" s="8"/>
      <c r="F148" s="9"/>
      <c r="G148" s="8"/>
      <c r="J148" s="10"/>
    </row>
    <row r="149">
      <c r="B149" s="8"/>
      <c r="F149" s="9"/>
      <c r="G149" s="8"/>
      <c r="J149" s="10"/>
    </row>
    <row r="150">
      <c r="B150" s="8"/>
      <c r="F150" s="9"/>
      <c r="G150" s="8"/>
      <c r="J150" s="10"/>
    </row>
    <row r="151">
      <c r="B151" s="8"/>
      <c r="F151" s="9"/>
      <c r="G151" s="8"/>
      <c r="J151" s="10"/>
    </row>
    <row r="152">
      <c r="B152" s="8"/>
      <c r="F152" s="9"/>
      <c r="G152" s="8"/>
      <c r="J152" s="10"/>
    </row>
    <row r="153">
      <c r="B153" s="8"/>
      <c r="F153" s="9"/>
      <c r="G153" s="8"/>
      <c r="J153" s="10"/>
    </row>
    <row r="154">
      <c r="B154" s="8"/>
      <c r="F154" s="9"/>
      <c r="G154" s="8"/>
      <c r="J154" s="10"/>
    </row>
    <row r="155">
      <c r="B155" s="8"/>
      <c r="F155" s="9"/>
      <c r="G155" s="8"/>
      <c r="J155" s="10"/>
    </row>
    <row r="156">
      <c r="B156" s="8"/>
      <c r="F156" s="9"/>
      <c r="G156" s="8"/>
      <c r="J156" s="10"/>
    </row>
    <row r="157">
      <c r="B157" s="8"/>
      <c r="F157" s="9"/>
      <c r="G157" s="8"/>
      <c r="J157" s="10"/>
    </row>
    <row r="158">
      <c r="B158" s="8"/>
      <c r="F158" s="9"/>
      <c r="G158" s="8"/>
      <c r="J158" s="10"/>
    </row>
    <row r="159">
      <c r="B159" s="8"/>
      <c r="F159" s="9"/>
      <c r="G159" s="8"/>
      <c r="J159" s="10"/>
    </row>
    <row r="160">
      <c r="B160" s="8"/>
      <c r="F160" s="9"/>
      <c r="G160" s="8"/>
      <c r="J160" s="10"/>
    </row>
    <row r="161">
      <c r="B161" s="8"/>
      <c r="F161" s="9"/>
      <c r="G161" s="8"/>
      <c r="J161" s="10"/>
    </row>
    <row r="162">
      <c r="B162" s="8"/>
      <c r="F162" s="9"/>
      <c r="G162" s="8"/>
      <c r="J162" s="10"/>
    </row>
    <row r="163">
      <c r="B163" s="8"/>
      <c r="F163" s="9"/>
      <c r="G163" s="8"/>
      <c r="J163" s="10"/>
    </row>
    <row r="164">
      <c r="B164" s="8"/>
      <c r="F164" s="9"/>
      <c r="G164" s="8"/>
      <c r="J164" s="10"/>
    </row>
    <row r="165">
      <c r="B165" s="8"/>
      <c r="F165" s="9"/>
      <c r="G165" s="8"/>
      <c r="J165" s="10"/>
    </row>
    <row r="166">
      <c r="B166" s="8"/>
      <c r="F166" s="9"/>
      <c r="G166" s="8"/>
      <c r="J166" s="10"/>
    </row>
    <row r="167">
      <c r="B167" s="8"/>
      <c r="F167" s="9"/>
      <c r="G167" s="8"/>
      <c r="J167" s="10"/>
    </row>
    <row r="168">
      <c r="B168" s="8"/>
      <c r="F168" s="9"/>
      <c r="G168" s="8"/>
      <c r="J168" s="10"/>
    </row>
    <row r="169">
      <c r="B169" s="8"/>
      <c r="F169" s="9"/>
      <c r="G169" s="8"/>
      <c r="J169" s="10"/>
    </row>
    <row r="170">
      <c r="B170" s="8"/>
      <c r="F170" s="9"/>
      <c r="G170" s="8"/>
      <c r="J170" s="10"/>
    </row>
    <row r="171">
      <c r="B171" s="8"/>
      <c r="F171" s="9"/>
      <c r="G171" s="8"/>
      <c r="J171" s="10"/>
    </row>
    <row r="172">
      <c r="B172" s="8"/>
      <c r="F172" s="9"/>
      <c r="G172" s="8"/>
      <c r="J172" s="10"/>
    </row>
    <row r="173">
      <c r="B173" s="8"/>
      <c r="F173" s="9"/>
      <c r="G173" s="8"/>
      <c r="J173" s="10"/>
    </row>
    <row r="174">
      <c r="B174" s="8"/>
      <c r="F174" s="9"/>
      <c r="G174" s="8"/>
      <c r="J174" s="10"/>
    </row>
    <row r="175">
      <c r="B175" s="8"/>
      <c r="F175" s="9"/>
      <c r="G175" s="8"/>
      <c r="J175" s="10"/>
    </row>
    <row r="176">
      <c r="B176" s="8"/>
      <c r="F176" s="9"/>
      <c r="G176" s="8"/>
      <c r="J176" s="10"/>
    </row>
    <row r="177">
      <c r="B177" s="8"/>
      <c r="F177" s="9"/>
      <c r="G177" s="8"/>
      <c r="J177" s="10"/>
    </row>
    <row r="178">
      <c r="B178" s="8"/>
      <c r="F178" s="9"/>
      <c r="G178" s="8"/>
      <c r="J178" s="10"/>
    </row>
    <row r="179">
      <c r="B179" s="8"/>
      <c r="F179" s="9"/>
      <c r="G179" s="8"/>
      <c r="J179" s="10"/>
    </row>
    <row r="180">
      <c r="B180" s="8"/>
      <c r="F180" s="9"/>
      <c r="G180" s="8"/>
      <c r="J180" s="10"/>
    </row>
    <row r="181">
      <c r="B181" s="8"/>
      <c r="F181" s="9"/>
      <c r="G181" s="8"/>
      <c r="J181" s="10"/>
    </row>
    <row r="182">
      <c r="B182" s="8"/>
      <c r="F182" s="9"/>
      <c r="G182" s="8"/>
      <c r="J182" s="10"/>
    </row>
    <row r="183">
      <c r="B183" s="8"/>
      <c r="F183" s="9"/>
      <c r="G183" s="8"/>
      <c r="J183" s="10"/>
    </row>
    <row r="184">
      <c r="B184" s="8"/>
      <c r="F184" s="9"/>
      <c r="G184" s="8"/>
      <c r="J184" s="10"/>
    </row>
    <row r="185">
      <c r="B185" s="8"/>
      <c r="F185" s="9"/>
      <c r="G185" s="8"/>
      <c r="J185" s="10"/>
    </row>
    <row r="186">
      <c r="B186" s="8"/>
      <c r="F186" s="9"/>
      <c r="G186" s="8"/>
      <c r="J186" s="10"/>
    </row>
    <row r="187">
      <c r="B187" s="8"/>
      <c r="F187" s="9"/>
      <c r="G187" s="8"/>
      <c r="J187" s="10"/>
    </row>
    <row r="188">
      <c r="B188" s="8"/>
      <c r="F188" s="9"/>
      <c r="G188" s="8"/>
      <c r="J188" s="10"/>
    </row>
    <row r="189">
      <c r="B189" s="8"/>
      <c r="F189" s="9"/>
      <c r="G189" s="8"/>
      <c r="J189" s="10"/>
    </row>
    <row r="190">
      <c r="B190" s="8"/>
      <c r="F190" s="9"/>
      <c r="G190" s="8"/>
      <c r="J190" s="10"/>
    </row>
    <row r="191">
      <c r="B191" s="8"/>
      <c r="F191" s="9"/>
      <c r="G191" s="8"/>
      <c r="J191" s="10"/>
    </row>
    <row r="192">
      <c r="B192" s="8"/>
      <c r="F192" s="9"/>
      <c r="G192" s="8"/>
      <c r="J192" s="10"/>
    </row>
    <row r="193">
      <c r="B193" s="8"/>
      <c r="F193" s="9"/>
      <c r="G193" s="8"/>
      <c r="J193" s="10"/>
    </row>
    <row r="194">
      <c r="B194" s="8"/>
      <c r="F194" s="9"/>
      <c r="G194" s="8"/>
      <c r="J194" s="10"/>
    </row>
    <row r="195">
      <c r="B195" s="8"/>
      <c r="F195" s="9"/>
      <c r="G195" s="8"/>
      <c r="J195" s="10"/>
    </row>
    <row r="196">
      <c r="B196" s="8"/>
      <c r="F196" s="9"/>
      <c r="G196" s="8"/>
      <c r="J196" s="10"/>
    </row>
    <row r="197">
      <c r="B197" s="8"/>
      <c r="F197" s="9"/>
      <c r="G197" s="8"/>
      <c r="J197" s="10"/>
    </row>
    <row r="198">
      <c r="B198" s="8"/>
      <c r="F198" s="9"/>
      <c r="G198" s="8"/>
      <c r="J198" s="10"/>
    </row>
    <row r="199">
      <c r="B199" s="8"/>
      <c r="F199" s="9"/>
      <c r="G199" s="8"/>
      <c r="J199" s="10"/>
    </row>
    <row r="200">
      <c r="B200" s="8"/>
      <c r="F200" s="9"/>
      <c r="G200" s="8"/>
      <c r="J200" s="10"/>
    </row>
    <row r="201">
      <c r="B201" s="8"/>
      <c r="F201" s="9"/>
      <c r="G201" s="8"/>
      <c r="J201" s="10"/>
    </row>
    <row r="202">
      <c r="B202" s="8"/>
      <c r="F202" s="9"/>
      <c r="G202" s="8"/>
      <c r="J202" s="10"/>
    </row>
    <row r="203">
      <c r="B203" s="8"/>
      <c r="F203" s="9"/>
      <c r="G203" s="8"/>
      <c r="J203" s="10"/>
    </row>
    <row r="204">
      <c r="B204" s="8"/>
      <c r="F204" s="9"/>
      <c r="G204" s="8"/>
      <c r="J204" s="10"/>
    </row>
    <row r="205">
      <c r="B205" s="8"/>
      <c r="F205" s="9"/>
      <c r="G205" s="8"/>
      <c r="J205" s="10"/>
    </row>
    <row r="206">
      <c r="B206" s="8"/>
      <c r="F206" s="9"/>
      <c r="G206" s="8"/>
      <c r="J206" s="10"/>
    </row>
    <row r="207">
      <c r="B207" s="8"/>
      <c r="F207" s="9"/>
      <c r="G207" s="8"/>
      <c r="J207" s="10"/>
    </row>
    <row r="208">
      <c r="B208" s="8"/>
      <c r="F208" s="9"/>
      <c r="G208" s="8"/>
      <c r="J208" s="10"/>
    </row>
    <row r="209">
      <c r="B209" s="8"/>
      <c r="F209" s="9"/>
      <c r="G209" s="8"/>
      <c r="J209" s="10"/>
    </row>
    <row r="210">
      <c r="B210" s="8"/>
      <c r="F210" s="9"/>
      <c r="G210" s="8"/>
      <c r="J210" s="10"/>
    </row>
    <row r="211">
      <c r="B211" s="8"/>
      <c r="F211" s="9"/>
      <c r="G211" s="8"/>
      <c r="J211" s="10"/>
    </row>
    <row r="212">
      <c r="B212" s="8"/>
      <c r="F212" s="9"/>
      <c r="G212" s="8"/>
      <c r="J212" s="10"/>
    </row>
    <row r="213">
      <c r="B213" s="8"/>
      <c r="F213" s="9"/>
      <c r="G213" s="8"/>
      <c r="J213" s="10"/>
    </row>
    <row r="214">
      <c r="B214" s="8"/>
      <c r="F214" s="9"/>
      <c r="G214" s="8"/>
      <c r="J214" s="10"/>
    </row>
    <row r="215">
      <c r="B215" s="8"/>
      <c r="F215" s="9"/>
      <c r="G215" s="8"/>
      <c r="J215" s="10"/>
    </row>
    <row r="216">
      <c r="B216" s="8"/>
      <c r="F216" s="9"/>
      <c r="G216" s="8"/>
      <c r="J216" s="10"/>
    </row>
    <row r="217">
      <c r="B217" s="8"/>
      <c r="F217" s="9"/>
      <c r="G217" s="8"/>
      <c r="J217" s="10"/>
    </row>
    <row r="218">
      <c r="B218" s="8"/>
      <c r="F218" s="9"/>
      <c r="G218" s="8"/>
      <c r="J218" s="10"/>
    </row>
    <row r="219">
      <c r="B219" s="8"/>
      <c r="F219" s="9"/>
      <c r="G219" s="8"/>
      <c r="J219" s="10"/>
    </row>
    <row r="220">
      <c r="B220" s="8"/>
      <c r="F220" s="9"/>
      <c r="G220" s="8"/>
      <c r="J220" s="10"/>
    </row>
    <row r="221">
      <c r="B221" s="8"/>
      <c r="F221" s="9"/>
      <c r="G221" s="8"/>
      <c r="J221" s="10"/>
    </row>
    <row r="222">
      <c r="B222" s="8"/>
      <c r="F222" s="9"/>
      <c r="G222" s="8"/>
      <c r="J222" s="10"/>
    </row>
    <row r="223">
      <c r="B223" s="8"/>
      <c r="F223" s="9"/>
      <c r="G223" s="8"/>
      <c r="J223" s="10"/>
    </row>
    <row r="224">
      <c r="B224" s="8"/>
      <c r="F224" s="9"/>
      <c r="G224" s="8"/>
      <c r="J224" s="10"/>
    </row>
    <row r="225">
      <c r="B225" s="8"/>
      <c r="F225" s="9"/>
      <c r="G225" s="8"/>
      <c r="J225" s="10"/>
    </row>
    <row r="226">
      <c r="B226" s="8"/>
      <c r="F226" s="9"/>
      <c r="G226" s="8"/>
      <c r="J226" s="10"/>
    </row>
    <row r="227">
      <c r="B227" s="8"/>
      <c r="F227" s="9"/>
      <c r="G227" s="8"/>
      <c r="J227" s="10"/>
    </row>
    <row r="228">
      <c r="B228" s="8"/>
      <c r="F228" s="9"/>
      <c r="G228" s="8"/>
      <c r="J228" s="10"/>
    </row>
    <row r="229">
      <c r="B229" s="8"/>
      <c r="F229" s="9"/>
      <c r="G229" s="8"/>
      <c r="J229" s="10"/>
    </row>
    <row r="230">
      <c r="B230" s="8"/>
      <c r="F230" s="9"/>
      <c r="G230" s="8"/>
      <c r="J230" s="10"/>
    </row>
    <row r="231">
      <c r="B231" s="8"/>
      <c r="F231" s="9"/>
      <c r="G231" s="8"/>
      <c r="J231" s="10"/>
    </row>
    <row r="232">
      <c r="B232" s="8"/>
      <c r="F232" s="9"/>
      <c r="G232" s="8"/>
      <c r="J232" s="10"/>
    </row>
    <row r="233">
      <c r="B233" s="8"/>
      <c r="F233" s="9"/>
      <c r="G233" s="8"/>
      <c r="J233" s="10"/>
    </row>
    <row r="234">
      <c r="B234" s="8"/>
      <c r="F234" s="9"/>
      <c r="G234" s="8"/>
      <c r="J234" s="10"/>
    </row>
    <row r="235">
      <c r="B235" s="8"/>
      <c r="F235" s="9"/>
      <c r="G235" s="8"/>
      <c r="J235" s="10"/>
    </row>
    <row r="236">
      <c r="B236" s="8"/>
      <c r="F236" s="9"/>
      <c r="G236" s="8"/>
      <c r="J236" s="10"/>
    </row>
    <row r="237">
      <c r="B237" s="8"/>
      <c r="F237" s="9"/>
      <c r="G237" s="8"/>
      <c r="J237" s="10"/>
    </row>
    <row r="238">
      <c r="B238" s="8"/>
      <c r="F238" s="9"/>
      <c r="G238" s="8"/>
      <c r="J238" s="10"/>
    </row>
    <row r="239">
      <c r="B239" s="8"/>
      <c r="F239" s="9"/>
      <c r="G239" s="8"/>
      <c r="J239" s="10"/>
    </row>
    <row r="240">
      <c r="B240" s="8"/>
      <c r="F240" s="9"/>
      <c r="G240" s="8"/>
      <c r="J240" s="10"/>
    </row>
    <row r="241">
      <c r="B241" s="8"/>
      <c r="F241" s="9"/>
      <c r="G241" s="8"/>
      <c r="J241" s="10"/>
    </row>
    <row r="242">
      <c r="B242" s="8"/>
      <c r="F242" s="9"/>
      <c r="G242" s="8"/>
      <c r="J242" s="10"/>
    </row>
    <row r="243">
      <c r="B243" s="8"/>
      <c r="F243" s="9"/>
      <c r="G243" s="8"/>
      <c r="J243" s="10"/>
    </row>
    <row r="244">
      <c r="B244" s="8"/>
      <c r="F244" s="9"/>
      <c r="G244" s="8"/>
      <c r="J244" s="10"/>
    </row>
    <row r="245">
      <c r="B245" s="8"/>
      <c r="F245" s="9"/>
      <c r="G245" s="8"/>
      <c r="J245" s="10"/>
    </row>
    <row r="246">
      <c r="B246" s="8"/>
      <c r="F246" s="9"/>
      <c r="G246" s="8"/>
      <c r="J246" s="10"/>
    </row>
    <row r="247">
      <c r="B247" s="8"/>
      <c r="F247" s="9"/>
      <c r="G247" s="8"/>
      <c r="J247" s="10"/>
    </row>
    <row r="248">
      <c r="B248" s="8"/>
      <c r="F248" s="9"/>
      <c r="G248" s="8"/>
      <c r="J248" s="10"/>
    </row>
    <row r="249">
      <c r="B249" s="8"/>
      <c r="F249" s="9"/>
      <c r="G249" s="8"/>
      <c r="J249" s="10"/>
    </row>
    <row r="250">
      <c r="B250" s="8"/>
      <c r="F250" s="9"/>
      <c r="G250" s="8"/>
      <c r="J250" s="10"/>
    </row>
    <row r="251">
      <c r="B251" s="8"/>
      <c r="F251" s="9"/>
      <c r="G251" s="8"/>
      <c r="J251" s="10"/>
    </row>
    <row r="252">
      <c r="B252" s="8"/>
      <c r="F252" s="9"/>
      <c r="G252" s="8"/>
      <c r="J252" s="10"/>
    </row>
    <row r="253">
      <c r="B253" s="8"/>
      <c r="F253" s="9"/>
      <c r="G253" s="8"/>
      <c r="J253" s="10"/>
    </row>
    <row r="254">
      <c r="B254" s="8"/>
      <c r="F254" s="9"/>
      <c r="G254" s="8"/>
      <c r="J254" s="10"/>
    </row>
    <row r="255">
      <c r="B255" s="8"/>
      <c r="F255" s="9"/>
      <c r="G255" s="8"/>
      <c r="J255" s="10"/>
    </row>
    <row r="256">
      <c r="B256" s="8"/>
      <c r="F256" s="9"/>
      <c r="G256" s="8"/>
      <c r="J256" s="10"/>
    </row>
    <row r="257">
      <c r="B257" s="8"/>
      <c r="F257" s="9"/>
      <c r="G257" s="8"/>
      <c r="J257" s="10"/>
    </row>
    <row r="258">
      <c r="B258" s="8"/>
      <c r="F258" s="9"/>
      <c r="G258" s="8"/>
      <c r="J258" s="10"/>
    </row>
    <row r="259">
      <c r="B259" s="8"/>
      <c r="F259" s="9"/>
      <c r="G259" s="8"/>
      <c r="J259" s="10"/>
    </row>
    <row r="260">
      <c r="B260" s="8"/>
      <c r="F260" s="9"/>
      <c r="G260" s="8"/>
      <c r="J260" s="10"/>
    </row>
    <row r="261">
      <c r="B261" s="8"/>
      <c r="F261" s="9"/>
      <c r="G261" s="8"/>
      <c r="J261" s="10"/>
    </row>
    <row r="262">
      <c r="B262" s="8"/>
      <c r="F262" s="9"/>
      <c r="G262" s="8"/>
      <c r="J262" s="10"/>
    </row>
    <row r="263">
      <c r="B263" s="8"/>
      <c r="F263" s="9"/>
      <c r="G263" s="8"/>
      <c r="J263" s="10"/>
    </row>
    <row r="264">
      <c r="B264" s="8"/>
      <c r="F264" s="9"/>
      <c r="G264" s="8"/>
      <c r="J264" s="10"/>
    </row>
    <row r="265">
      <c r="B265" s="8"/>
      <c r="F265" s="9"/>
      <c r="G265" s="8"/>
      <c r="J265" s="10"/>
    </row>
    <row r="266">
      <c r="B266" s="8"/>
      <c r="F266" s="9"/>
      <c r="G266" s="8"/>
      <c r="J266" s="10"/>
    </row>
    <row r="267">
      <c r="B267" s="8"/>
      <c r="F267" s="9"/>
      <c r="G267" s="8"/>
      <c r="J267" s="10"/>
    </row>
    <row r="268">
      <c r="B268" s="8"/>
      <c r="F268" s="9"/>
      <c r="G268" s="8"/>
      <c r="J268" s="10"/>
    </row>
    <row r="269">
      <c r="B269" s="8"/>
      <c r="F269" s="9"/>
      <c r="G269" s="8"/>
      <c r="J269" s="10"/>
    </row>
    <row r="270">
      <c r="B270" s="8"/>
      <c r="F270" s="9"/>
      <c r="G270" s="8"/>
      <c r="J270" s="10"/>
    </row>
    <row r="271">
      <c r="B271" s="8"/>
      <c r="F271" s="9"/>
      <c r="G271" s="8"/>
      <c r="J271" s="10"/>
    </row>
    <row r="272">
      <c r="B272" s="8"/>
      <c r="F272" s="9"/>
      <c r="G272" s="8"/>
      <c r="J272" s="10"/>
    </row>
    <row r="273">
      <c r="B273" s="8"/>
      <c r="F273" s="9"/>
      <c r="G273" s="8"/>
      <c r="J273" s="10"/>
    </row>
    <row r="274">
      <c r="B274" s="8"/>
      <c r="F274" s="9"/>
      <c r="G274" s="8"/>
      <c r="J274" s="10"/>
    </row>
    <row r="275">
      <c r="B275" s="8"/>
      <c r="F275" s="9"/>
      <c r="G275" s="8"/>
      <c r="J275" s="10"/>
    </row>
    <row r="276">
      <c r="B276" s="8"/>
      <c r="F276" s="9"/>
      <c r="G276" s="8"/>
      <c r="J276" s="10"/>
    </row>
    <row r="277">
      <c r="B277" s="8"/>
      <c r="F277" s="9"/>
      <c r="G277" s="8"/>
      <c r="J277" s="10"/>
    </row>
    <row r="278">
      <c r="B278" s="8"/>
      <c r="F278" s="9"/>
      <c r="G278" s="8"/>
      <c r="J278" s="10"/>
    </row>
    <row r="279">
      <c r="B279" s="8"/>
      <c r="F279" s="9"/>
      <c r="G279" s="8"/>
      <c r="J279" s="10"/>
    </row>
    <row r="280">
      <c r="B280" s="8"/>
      <c r="F280" s="9"/>
      <c r="G280" s="8"/>
      <c r="J280" s="10"/>
    </row>
    <row r="281">
      <c r="B281" s="8"/>
      <c r="F281" s="9"/>
      <c r="G281" s="8"/>
      <c r="J281" s="10"/>
    </row>
    <row r="282">
      <c r="B282" s="8"/>
      <c r="F282" s="9"/>
      <c r="G282" s="8"/>
      <c r="J282" s="10"/>
    </row>
    <row r="283">
      <c r="B283" s="8"/>
      <c r="F283" s="9"/>
      <c r="G283" s="8"/>
      <c r="J283" s="10"/>
    </row>
    <row r="284">
      <c r="B284" s="8"/>
      <c r="F284" s="9"/>
      <c r="G284" s="8"/>
      <c r="J284" s="10"/>
    </row>
    <row r="285">
      <c r="B285" s="8"/>
      <c r="F285" s="9"/>
      <c r="G285" s="8"/>
      <c r="J285" s="10"/>
    </row>
    <row r="286">
      <c r="B286" s="8"/>
      <c r="F286" s="9"/>
      <c r="G286" s="8"/>
      <c r="J286" s="10"/>
    </row>
    <row r="287">
      <c r="B287" s="8"/>
      <c r="F287" s="9"/>
      <c r="G287" s="8"/>
      <c r="J287" s="10"/>
    </row>
    <row r="288">
      <c r="B288" s="8"/>
      <c r="F288" s="9"/>
      <c r="G288" s="8"/>
      <c r="J288" s="10"/>
    </row>
    <row r="289">
      <c r="B289" s="8"/>
      <c r="F289" s="9"/>
      <c r="G289" s="8"/>
      <c r="J289" s="10"/>
    </row>
    <row r="290">
      <c r="B290" s="8"/>
      <c r="F290" s="9"/>
      <c r="G290" s="8"/>
      <c r="J290" s="10"/>
    </row>
    <row r="291">
      <c r="B291" s="8"/>
      <c r="F291" s="9"/>
      <c r="G291" s="8"/>
      <c r="J291" s="10"/>
    </row>
    <row r="292">
      <c r="B292" s="8"/>
      <c r="F292" s="9"/>
      <c r="G292" s="8"/>
      <c r="J292" s="10"/>
    </row>
    <row r="293">
      <c r="B293" s="8"/>
      <c r="F293" s="9"/>
      <c r="G293" s="8"/>
      <c r="J293" s="10"/>
    </row>
    <row r="294">
      <c r="B294" s="8"/>
      <c r="F294" s="9"/>
      <c r="G294" s="8"/>
      <c r="J294" s="10"/>
    </row>
    <row r="295">
      <c r="B295" s="8"/>
      <c r="F295" s="9"/>
      <c r="G295" s="8"/>
      <c r="J295" s="10"/>
    </row>
    <row r="296">
      <c r="B296" s="8"/>
      <c r="F296" s="9"/>
      <c r="G296" s="8"/>
      <c r="J296" s="10"/>
    </row>
    <row r="297">
      <c r="B297" s="8"/>
      <c r="F297" s="9"/>
      <c r="G297" s="8"/>
      <c r="J297" s="10"/>
    </row>
    <row r="298">
      <c r="B298" s="8"/>
      <c r="F298" s="9"/>
      <c r="G298" s="8"/>
      <c r="J298" s="10"/>
    </row>
    <row r="299">
      <c r="B299" s="8"/>
      <c r="F299" s="9"/>
      <c r="G299" s="8"/>
      <c r="J299" s="10"/>
    </row>
    <row r="300">
      <c r="B300" s="8"/>
      <c r="F300" s="9"/>
      <c r="G300" s="8"/>
      <c r="J300" s="10"/>
    </row>
    <row r="301">
      <c r="B301" s="8"/>
      <c r="F301" s="9"/>
      <c r="G301" s="8"/>
      <c r="J301" s="10"/>
    </row>
    <row r="302">
      <c r="B302" s="8"/>
      <c r="F302" s="9"/>
      <c r="G302" s="8"/>
      <c r="J302" s="10"/>
    </row>
    <row r="303">
      <c r="B303" s="8"/>
      <c r="F303" s="9"/>
      <c r="G303" s="8"/>
      <c r="J303" s="10"/>
    </row>
    <row r="304">
      <c r="B304" s="8"/>
      <c r="F304" s="9"/>
      <c r="G304" s="8"/>
      <c r="J304" s="10"/>
    </row>
    <row r="305">
      <c r="B305" s="8"/>
      <c r="F305" s="9"/>
      <c r="G305" s="8"/>
      <c r="J305" s="10"/>
    </row>
    <row r="306">
      <c r="B306" s="8"/>
      <c r="F306" s="9"/>
      <c r="G306" s="8"/>
      <c r="J306" s="10"/>
    </row>
    <row r="307">
      <c r="B307" s="8"/>
      <c r="F307" s="9"/>
      <c r="G307" s="8"/>
      <c r="J307" s="10"/>
    </row>
    <row r="308">
      <c r="B308" s="8"/>
      <c r="F308" s="9"/>
      <c r="G308" s="8"/>
      <c r="J308" s="10"/>
    </row>
    <row r="309">
      <c r="B309" s="8"/>
      <c r="F309" s="9"/>
      <c r="G309" s="8"/>
      <c r="J309" s="10"/>
    </row>
    <row r="310">
      <c r="B310" s="8"/>
      <c r="F310" s="9"/>
      <c r="G310" s="8"/>
      <c r="J310" s="10"/>
    </row>
    <row r="311">
      <c r="B311" s="8"/>
      <c r="F311" s="9"/>
      <c r="G311" s="8"/>
      <c r="J311" s="10"/>
    </row>
    <row r="312">
      <c r="B312" s="8"/>
      <c r="F312" s="9"/>
      <c r="G312" s="8"/>
      <c r="J312" s="10"/>
    </row>
    <row r="313">
      <c r="B313" s="8"/>
      <c r="F313" s="9"/>
      <c r="G313" s="8"/>
      <c r="J313" s="10"/>
    </row>
    <row r="314">
      <c r="B314" s="8"/>
      <c r="F314" s="9"/>
      <c r="G314" s="8"/>
      <c r="J314" s="10"/>
    </row>
    <row r="315">
      <c r="B315" s="8"/>
      <c r="F315" s="9"/>
      <c r="G315" s="8"/>
      <c r="J315" s="10"/>
    </row>
    <row r="316">
      <c r="B316" s="8"/>
      <c r="F316" s="9"/>
      <c r="G316" s="8"/>
      <c r="J316" s="10"/>
    </row>
    <row r="317">
      <c r="B317" s="8"/>
      <c r="F317" s="9"/>
      <c r="G317" s="8"/>
      <c r="J317" s="10"/>
    </row>
    <row r="318">
      <c r="B318" s="8"/>
      <c r="F318" s="9"/>
      <c r="G318" s="8"/>
      <c r="J318" s="10"/>
    </row>
    <row r="319">
      <c r="B319" s="8"/>
      <c r="F319" s="9"/>
      <c r="G319" s="8"/>
      <c r="J319" s="10"/>
    </row>
    <row r="320">
      <c r="B320" s="8"/>
      <c r="F320" s="9"/>
      <c r="G320" s="8"/>
      <c r="J320" s="10"/>
    </row>
    <row r="321">
      <c r="B321" s="8"/>
      <c r="F321" s="9"/>
      <c r="G321" s="8"/>
      <c r="J321" s="10"/>
    </row>
    <row r="322">
      <c r="B322" s="8"/>
      <c r="F322" s="9"/>
      <c r="G322" s="8"/>
      <c r="J322" s="10"/>
    </row>
    <row r="323">
      <c r="B323" s="8"/>
      <c r="F323" s="9"/>
      <c r="G323" s="8"/>
      <c r="J323" s="10"/>
    </row>
    <row r="324">
      <c r="B324" s="8"/>
      <c r="F324" s="9"/>
      <c r="G324" s="8"/>
      <c r="J324" s="10"/>
    </row>
    <row r="325">
      <c r="B325" s="8"/>
      <c r="F325" s="9"/>
      <c r="G325" s="8"/>
      <c r="J325" s="10"/>
    </row>
    <row r="326">
      <c r="B326" s="8"/>
      <c r="F326" s="9"/>
      <c r="G326" s="8"/>
      <c r="J326" s="10"/>
    </row>
    <row r="327">
      <c r="B327" s="8"/>
      <c r="F327" s="9"/>
      <c r="G327" s="8"/>
      <c r="J327" s="10"/>
    </row>
    <row r="328">
      <c r="B328" s="8"/>
      <c r="F328" s="9"/>
      <c r="G328" s="8"/>
      <c r="J328" s="10"/>
    </row>
    <row r="329">
      <c r="B329" s="8"/>
      <c r="F329" s="9"/>
      <c r="G329" s="8"/>
      <c r="J329" s="10"/>
    </row>
    <row r="330">
      <c r="B330" s="8"/>
      <c r="F330" s="9"/>
      <c r="G330" s="8"/>
      <c r="J330" s="10"/>
    </row>
    <row r="331">
      <c r="B331" s="8"/>
      <c r="F331" s="9"/>
      <c r="G331" s="8"/>
      <c r="J331" s="10"/>
    </row>
    <row r="332">
      <c r="B332" s="8"/>
      <c r="F332" s="9"/>
      <c r="G332" s="8"/>
      <c r="J332" s="10"/>
    </row>
    <row r="333">
      <c r="B333" s="8"/>
      <c r="F333" s="9"/>
      <c r="G333" s="8"/>
      <c r="J333" s="10"/>
    </row>
    <row r="334">
      <c r="B334" s="8"/>
      <c r="F334" s="9"/>
      <c r="G334" s="8"/>
      <c r="J334" s="10"/>
    </row>
    <row r="335">
      <c r="B335" s="8"/>
      <c r="F335" s="9"/>
      <c r="G335" s="8"/>
      <c r="J335" s="10"/>
    </row>
    <row r="336">
      <c r="B336" s="8"/>
      <c r="F336" s="9"/>
      <c r="G336" s="8"/>
      <c r="J336" s="10"/>
    </row>
    <row r="337">
      <c r="B337" s="8"/>
      <c r="F337" s="9"/>
      <c r="G337" s="8"/>
      <c r="J337" s="10"/>
    </row>
    <row r="338">
      <c r="B338" s="8"/>
      <c r="F338" s="9"/>
      <c r="G338" s="8"/>
      <c r="J338" s="10"/>
    </row>
    <row r="339">
      <c r="B339" s="8"/>
      <c r="F339" s="9"/>
      <c r="G339" s="8"/>
      <c r="J339" s="10"/>
    </row>
    <row r="340">
      <c r="B340" s="8"/>
      <c r="F340" s="9"/>
      <c r="G340" s="8"/>
      <c r="J340" s="10"/>
    </row>
    <row r="341">
      <c r="B341" s="8"/>
      <c r="F341" s="9"/>
      <c r="G341" s="8"/>
      <c r="J341" s="10"/>
    </row>
    <row r="342">
      <c r="B342" s="8"/>
      <c r="F342" s="9"/>
      <c r="G342" s="8"/>
      <c r="J342" s="10"/>
    </row>
    <row r="343">
      <c r="B343" s="8"/>
      <c r="F343" s="9"/>
      <c r="G343" s="8"/>
      <c r="J343" s="10"/>
    </row>
    <row r="344">
      <c r="B344" s="8"/>
      <c r="F344" s="9"/>
      <c r="G344" s="8"/>
      <c r="J344" s="10"/>
    </row>
    <row r="345">
      <c r="B345" s="8"/>
      <c r="F345" s="9"/>
      <c r="G345" s="8"/>
      <c r="J345" s="10"/>
    </row>
    <row r="346">
      <c r="B346" s="8"/>
      <c r="F346" s="9"/>
      <c r="G346" s="8"/>
      <c r="J346" s="10"/>
    </row>
    <row r="347">
      <c r="B347" s="8"/>
      <c r="F347" s="9"/>
      <c r="G347" s="8"/>
      <c r="J347" s="10"/>
    </row>
    <row r="348">
      <c r="B348" s="8"/>
      <c r="F348" s="9"/>
      <c r="G348" s="8"/>
      <c r="J348" s="10"/>
    </row>
    <row r="349">
      <c r="B349" s="8"/>
      <c r="F349" s="9"/>
      <c r="G349" s="8"/>
      <c r="J349" s="10"/>
    </row>
    <row r="350">
      <c r="B350" s="8"/>
      <c r="F350" s="9"/>
      <c r="G350" s="8"/>
      <c r="J350" s="10"/>
    </row>
    <row r="351">
      <c r="B351" s="8"/>
      <c r="F351" s="9"/>
      <c r="G351" s="8"/>
      <c r="J351" s="10"/>
    </row>
    <row r="352">
      <c r="B352" s="8"/>
      <c r="F352" s="9"/>
      <c r="G352" s="8"/>
      <c r="J352" s="10"/>
    </row>
    <row r="353">
      <c r="B353" s="8"/>
      <c r="F353" s="9"/>
      <c r="G353" s="8"/>
      <c r="J353" s="10"/>
    </row>
    <row r="354">
      <c r="B354" s="8"/>
      <c r="F354" s="9"/>
      <c r="G354" s="8"/>
      <c r="J354" s="10"/>
    </row>
    <row r="355">
      <c r="B355" s="8"/>
      <c r="F355" s="9"/>
      <c r="G355" s="8"/>
      <c r="J355" s="10"/>
    </row>
    <row r="356">
      <c r="B356" s="8"/>
      <c r="F356" s="9"/>
      <c r="G356" s="8"/>
      <c r="J356" s="10"/>
    </row>
    <row r="357">
      <c r="B357" s="8"/>
      <c r="F357" s="9"/>
      <c r="G357" s="8"/>
      <c r="J357" s="10"/>
    </row>
    <row r="358">
      <c r="B358" s="8"/>
      <c r="F358" s="9"/>
      <c r="G358" s="8"/>
      <c r="J358" s="10"/>
    </row>
    <row r="359">
      <c r="B359" s="8"/>
      <c r="F359" s="9"/>
      <c r="G359" s="8"/>
      <c r="J359" s="10"/>
    </row>
    <row r="360">
      <c r="B360" s="8"/>
      <c r="F360" s="9"/>
      <c r="G360" s="8"/>
      <c r="J360" s="10"/>
    </row>
    <row r="361">
      <c r="B361" s="8"/>
      <c r="F361" s="9"/>
      <c r="G361" s="8"/>
      <c r="J361" s="10"/>
    </row>
    <row r="362">
      <c r="B362" s="8"/>
      <c r="F362" s="9"/>
      <c r="G362" s="8"/>
      <c r="J362" s="10"/>
    </row>
    <row r="363">
      <c r="B363" s="8"/>
      <c r="F363" s="9"/>
      <c r="G363" s="8"/>
      <c r="J363" s="10"/>
    </row>
    <row r="364">
      <c r="B364" s="8"/>
      <c r="F364" s="9"/>
      <c r="G364" s="8"/>
      <c r="J364" s="10"/>
    </row>
    <row r="365">
      <c r="B365" s="8"/>
      <c r="F365" s="9"/>
      <c r="G365" s="8"/>
      <c r="J365" s="10"/>
    </row>
    <row r="366">
      <c r="B366" s="8"/>
      <c r="F366" s="9"/>
      <c r="G366" s="8"/>
      <c r="J366" s="10"/>
    </row>
    <row r="367">
      <c r="B367" s="8"/>
      <c r="F367" s="9"/>
      <c r="G367" s="8"/>
      <c r="J367" s="10"/>
    </row>
    <row r="368">
      <c r="B368" s="8"/>
      <c r="F368" s="9"/>
      <c r="G368" s="8"/>
      <c r="J368" s="10"/>
    </row>
    <row r="369">
      <c r="B369" s="8"/>
      <c r="F369" s="9"/>
      <c r="G369" s="8"/>
      <c r="J369" s="10"/>
    </row>
    <row r="370">
      <c r="B370" s="8"/>
      <c r="F370" s="9"/>
      <c r="G370" s="8"/>
      <c r="J370" s="10"/>
    </row>
    <row r="371">
      <c r="B371" s="8"/>
      <c r="F371" s="9"/>
      <c r="G371" s="8"/>
      <c r="J371" s="10"/>
    </row>
    <row r="372">
      <c r="B372" s="8"/>
      <c r="F372" s="9"/>
      <c r="G372" s="8"/>
      <c r="J372" s="10"/>
    </row>
    <row r="373">
      <c r="B373" s="8"/>
      <c r="F373" s="9"/>
      <c r="G373" s="8"/>
      <c r="J373" s="10"/>
    </row>
    <row r="374">
      <c r="B374" s="8"/>
      <c r="F374" s="9"/>
      <c r="G374" s="8"/>
      <c r="J374" s="10"/>
    </row>
    <row r="375">
      <c r="B375" s="8"/>
      <c r="F375" s="9"/>
      <c r="G375" s="8"/>
      <c r="J375" s="10"/>
    </row>
    <row r="376">
      <c r="B376" s="8"/>
      <c r="F376" s="9"/>
      <c r="G376" s="8"/>
      <c r="J376" s="10"/>
    </row>
    <row r="377">
      <c r="B377" s="8"/>
      <c r="F377" s="9"/>
      <c r="G377" s="8"/>
      <c r="J377" s="10"/>
    </row>
    <row r="378">
      <c r="B378" s="8"/>
      <c r="F378" s="9"/>
      <c r="G378" s="8"/>
      <c r="J378" s="10"/>
    </row>
    <row r="379">
      <c r="B379" s="8"/>
      <c r="F379" s="9"/>
      <c r="G379" s="8"/>
      <c r="J379" s="10"/>
    </row>
    <row r="380">
      <c r="B380" s="8"/>
      <c r="F380" s="9"/>
      <c r="G380" s="8"/>
      <c r="J380" s="10"/>
    </row>
    <row r="381">
      <c r="B381" s="8"/>
      <c r="F381" s="9"/>
      <c r="G381" s="8"/>
      <c r="J381" s="10"/>
    </row>
    <row r="382">
      <c r="B382" s="8"/>
      <c r="F382" s="9"/>
      <c r="G382" s="8"/>
      <c r="J382" s="10"/>
    </row>
    <row r="383">
      <c r="B383" s="8"/>
      <c r="F383" s="9"/>
      <c r="G383" s="8"/>
      <c r="J383" s="10"/>
    </row>
    <row r="384">
      <c r="B384" s="8"/>
      <c r="F384" s="9"/>
      <c r="G384" s="8"/>
      <c r="J384" s="10"/>
    </row>
    <row r="385">
      <c r="B385" s="8"/>
      <c r="F385" s="9"/>
      <c r="G385" s="8"/>
      <c r="J385" s="10"/>
    </row>
    <row r="386">
      <c r="B386" s="8"/>
      <c r="F386" s="9"/>
      <c r="G386" s="8"/>
      <c r="J386" s="10"/>
    </row>
    <row r="387">
      <c r="B387" s="8"/>
      <c r="F387" s="9"/>
      <c r="G387" s="8"/>
      <c r="J387" s="10"/>
    </row>
    <row r="388">
      <c r="B388" s="8"/>
      <c r="F388" s="9"/>
      <c r="G388" s="8"/>
      <c r="J388" s="10"/>
    </row>
    <row r="389">
      <c r="B389" s="8"/>
      <c r="F389" s="9"/>
      <c r="G389" s="8"/>
      <c r="J389" s="10"/>
    </row>
    <row r="390">
      <c r="B390" s="8"/>
      <c r="F390" s="9"/>
      <c r="G390" s="8"/>
      <c r="J390" s="10"/>
    </row>
    <row r="391">
      <c r="B391" s="8"/>
      <c r="F391" s="9"/>
      <c r="G391" s="8"/>
      <c r="J391" s="10"/>
    </row>
    <row r="392">
      <c r="B392" s="8"/>
      <c r="F392" s="9"/>
      <c r="G392" s="8"/>
      <c r="J392" s="10"/>
    </row>
    <row r="393">
      <c r="B393" s="8"/>
      <c r="F393" s="9"/>
      <c r="G393" s="8"/>
      <c r="J393" s="10"/>
    </row>
    <row r="394">
      <c r="B394" s="8"/>
      <c r="F394" s="9"/>
      <c r="G394" s="8"/>
      <c r="J394" s="10"/>
    </row>
    <row r="395">
      <c r="B395" s="8"/>
      <c r="F395" s="9"/>
      <c r="G395" s="8"/>
      <c r="J395" s="10"/>
    </row>
    <row r="396">
      <c r="B396" s="8"/>
      <c r="F396" s="9"/>
      <c r="G396" s="8"/>
      <c r="J396" s="10"/>
    </row>
    <row r="397">
      <c r="B397" s="8"/>
      <c r="F397" s="9"/>
      <c r="G397" s="8"/>
      <c r="J397" s="10"/>
    </row>
    <row r="398">
      <c r="B398" s="8"/>
      <c r="F398" s="9"/>
      <c r="G398" s="8"/>
      <c r="J398" s="10"/>
    </row>
    <row r="399">
      <c r="B399" s="8"/>
      <c r="F399" s="9"/>
      <c r="G399" s="8"/>
      <c r="J399" s="10"/>
    </row>
    <row r="400">
      <c r="B400" s="8"/>
      <c r="F400" s="9"/>
      <c r="G400" s="8"/>
      <c r="J400" s="10"/>
    </row>
    <row r="401">
      <c r="B401" s="8"/>
      <c r="F401" s="9"/>
      <c r="G401" s="8"/>
      <c r="J401" s="10"/>
    </row>
    <row r="402">
      <c r="B402" s="8"/>
      <c r="F402" s="9"/>
      <c r="G402" s="8"/>
      <c r="J402" s="10"/>
    </row>
    <row r="403">
      <c r="B403" s="8"/>
      <c r="F403" s="9"/>
      <c r="G403" s="8"/>
      <c r="J403" s="10"/>
    </row>
    <row r="404">
      <c r="B404" s="8"/>
      <c r="F404" s="9"/>
      <c r="G404" s="8"/>
      <c r="J404" s="10"/>
    </row>
    <row r="405">
      <c r="B405" s="8"/>
      <c r="F405" s="9"/>
      <c r="G405" s="8"/>
      <c r="J405" s="10"/>
    </row>
    <row r="406">
      <c r="B406" s="8"/>
      <c r="F406" s="9"/>
      <c r="G406" s="8"/>
      <c r="J406" s="10"/>
    </row>
    <row r="407">
      <c r="B407" s="8"/>
      <c r="F407" s="9"/>
      <c r="G407" s="8"/>
      <c r="J407" s="10"/>
    </row>
    <row r="408">
      <c r="B408" s="8"/>
      <c r="F408" s="9"/>
      <c r="G408" s="8"/>
      <c r="J408" s="10"/>
    </row>
    <row r="409">
      <c r="B409" s="8"/>
      <c r="F409" s="9"/>
      <c r="G409" s="8"/>
      <c r="J409" s="10"/>
    </row>
    <row r="410">
      <c r="B410" s="8"/>
      <c r="F410" s="9"/>
      <c r="G410" s="8"/>
      <c r="J410" s="10"/>
    </row>
    <row r="411">
      <c r="B411" s="8"/>
      <c r="F411" s="9"/>
      <c r="G411" s="8"/>
      <c r="J411" s="10"/>
    </row>
    <row r="412">
      <c r="B412" s="8"/>
      <c r="F412" s="9"/>
      <c r="G412" s="8"/>
      <c r="J412" s="10"/>
    </row>
    <row r="413">
      <c r="B413" s="8"/>
      <c r="F413" s="9"/>
      <c r="G413" s="8"/>
      <c r="J413" s="10"/>
    </row>
    <row r="414">
      <c r="B414" s="8"/>
      <c r="F414" s="9"/>
      <c r="G414" s="8"/>
      <c r="J414" s="10"/>
    </row>
    <row r="415">
      <c r="B415" s="8"/>
      <c r="F415" s="9"/>
      <c r="G415" s="8"/>
      <c r="J415" s="10"/>
    </row>
    <row r="416">
      <c r="B416" s="8"/>
      <c r="F416" s="9"/>
      <c r="G416" s="8"/>
      <c r="J416" s="10"/>
    </row>
    <row r="417">
      <c r="B417" s="8"/>
      <c r="F417" s="9"/>
      <c r="G417" s="8"/>
      <c r="J417" s="10"/>
    </row>
    <row r="418">
      <c r="B418" s="8"/>
      <c r="F418" s="9"/>
      <c r="G418" s="8"/>
      <c r="J418" s="10"/>
    </row>
    <row r="419">
      <c r="B419" s="8"/>
      <c r="F419" s="9"/>
      <c r="G419" s="8"/>
      <c r="J419" s="10"/>
    </row>
    <row r="420">
      <c r="B420" s="8"/>
      <c r="F420" s="9"/>
      <c r="G420" s="8"/>
      <c r="J420" s="10"/>
    </row>
    <row r="421">
      <c r="B421" s="8"/>
      <c r="F421" s="9"/>
      <c r="G421" s="8"/>
      <c r="J421" s="10"/>
    </row>
    <row r="422">
      <c r="B422" s="8"/>
      <c r="F422" s="9"/>
      <c r="G422" s="8"/>
      <c r="J422" s="10"/>
    </row>
    <row r="423">
      <c r="B423" s="8"/>
      <c r="F423" s="9"/>
      <c r="G423" s="8"/>
      <c r="J423" s="10"/>
    </row>
    <row r="424">
      <c r="B424" s="8"/>
      <c r="F424" s="9"/>
      <c r="G424" s="8"/>
      <c r="J424" s="10"/>
    </row>
    <row r="425">
      <c r="B425" s="8"/>
      <c r="F425" s="9"/>
      <c r="G425" s="8"/>
      <c r="J425" s="10"/>
    </row>
    <row r="426">
      <c r="B426" s="8"/>
      <c r="F426" s="9"/>
      <c r="G426" s="8"/>
      <c r="J426" s="10"/>
    </row>
    <row r="427">
      <c r="B427" s="8"/>
      <c r="F427" s="9"/>
      <c r="G427" s="8"/>
      <c r="J427" s="10"/>
    </row>
    <row r="428">
      <c r="B428" s="8"/>
      <c r="F428" s="9"/>
      <c r="G428" s="8"/>
      <c r="J428" s="10"/>
    </row>
    <row r="429">
      <c r="B429" s="8"/>
      <c r="F429" s="9"/>
      <c r="G429" s="8"/>
      <c r="J429" s="10"/>
    </row>
    <row r="430">
      <c r="B430" s="8"/>
      <c r="F430" s="9"/>
      <c r="G430" s="8"/>
      <c r="J430" s="10"/>
    </row>
    <row r="431">
      <c r="B431" s="8"/>
      <c r="F431" s="9"/>
      <c r="G431" s="8"/>
      <c r="J431" s="10"/>
    </row>
    <row r="432">
      <c r="B432" s="8"/>
      <c r="F432" s="9"/>
      <c r="G432" s="8"/>
      <c r="J432" s="10"/>
    </row>
    <row r="433">
      <c r="B433" s="8"/>
      <c r="F433" s="9"/>
      <c r="G433" s="8"/>
      <c r="J433" s="10"/>
    </row>
    <row r="434">
      <c r="B434" s="8"/>
      <c r="F434" s="9"/>
      <c r="G434" s="8"/>
      <c r="J434" s="10"/>
    </row>
    <row r="435">
      <c r="B435" s="8"/>
      <c r="F435" s="9"/>
      <c r="G435" s="8"/>
      <c r="J435" s="10"/>
    </row>
    <row r="436">
      <c r="B436" s="8"/>
      <c r="F436" s="9"/>
      <c r="G436" s="8"/>
      <c r="J436" s="10"/>
    </row>
    <row r="437">
      <c r="B437" s="8"/>
      <c r="F437" s="9"/>
      <c r="G437" s="8"/>
      <c r="J437" s="10"/>
    </row>
    <row r="438">
      <c r="B438" s="8"/>
      <c r="F438" s="9"/>
      <c r="G438" s="8"/>
      <c r="J438" s="10"/>
    </row>
    <row r="439">
      <c r="B439" s="8"/>
      <c r="F439" s="9"/>
      <c r="G439" s="8"/>
      <c r="J439" s="10"/>
    </row>
    <row r="440">
      <c r="B440" s="8"/>
      <c r="F440" s="9"/>
      <c r="G440" s="8"/>
      <c r="J440" s="10"/>
    </row>
    <row r="441">
      <c r="B441" s="8"/>
      <c r="F441" s="9"/>
      <c r="G441" s="8"/>
      <c r="J441" s="10"/>
    </row>
    <row r="442">
      <c r="B442" s="8"/>
      <c r="F442" s="9"/>
      <c r="G442" s="8"/>
      <c r="J442" s="10"/>
    </row>
    <row r="443">
      <c r="B443" s="8"/>
      <c r="F443" s="9"/>
      <c r="G443" s="8"/>
      <c r="J443" s="10"/>
    </row>
    <row r="444">
      <c r="B444" s="8"/>
      <c r="F444" s="9"/>
      <c r="G444" s="8"/>
      <c r="J444" s="10"/>
    </row>
    <row r="445">
      <c r="B445" s="8"/>
      <c r="F445" s="9"/>
      <c r="G445" s="8"/>
      <c r="J445" s="10"/>
    </row>
    <row r="446">
      <c r="B446" s="8"/>
      <c r="F446" s="9"/>
      <c r="G446" s="8"/>
      <c r="J446" s="10"/>
    </row>
    <row r="447">
      <c r="B447" s="8"/>
      <c r="F447" s="9"/>
      <c r="G447" s="8"/>
      <c r="J447" s="10"/>
    </row>
    <row r="448">
      <c r="B448" s="8"/>
      <c r="F448" s="9"/>
      <c r="G448" s="8"/>
      <c r="J448" s="10"/>
    </row>
    <row r="449">
      <c r="B449" s="8"/>
      <c r="F449" s="9"/>
      <c r="G449" s="8"/>
      <c r="J449" s="10"/>
    </row>
    <row r="450">
      <c r="B450" s="8"/>
      <c r="F450" s="9"/>
      <c r="G450" s="8"/>
      <c r="J450" s="10"/>
    </row>
    <row r="451">
      <c r="B451" s="8"/>
      <c r="F451" s="9"/>
      <c r="G451" s="8"/>
      <c r="J451" s="10"/>
    </row>
    <row r="452">
      <c r="B452" s="8"/>
      <c r="F452" s="9"/>
      <c r="G452" s="8"/>
      <c r="J452" s="10"/>
    </row>
    <row r="453">
      <c r="B453" s="8"/>
      <c r="F453" s="9"/>
      <c r="G453" s="8"/>
      <c r="J453" s="10"/>
    </row>
    <row r="454">
      <c r="B454" s="8"/>
      <c r="F454" s="9"/>
      <c r="G454" s="8"/>
      <c r="J454" s="10"/>
    </row>
    <row r="455">
      <c r="B455" s="8"/>
      <c r="F455" s="9"/>
      <c r="G455" s="8"/>
      <c r="J455" s="10"/>
    </row>
    <row r="456">
      <c r="B456" s="8"/>
      <c r="F456" s="9"/>
      <c r="G456" s="8"/>
      <c r="J456" s="10"/>
    </row>
    <row r="457">
      <c r="B457" s="8"/>
      <c r="F457" s="9"/>
      <c r="G457" s="8"/>
      <c r="J457" s="10"/>
    </row>
    <row r="458">
      <c r="B458" s="8"/>
      <c r="F458" s="9"/>
      <c r="G458" s="8"/>
      <c r="J458" s="10"/>
    </row>
    <row r="459">
      <c r="B459" s="8"/>
      <c r="F459" s="9"/>
      <c r="G459" s="8"/>
      <c r="J459" s="10"/>
    </row>
    <row r="460">
      <c r="B460" s="8"/>
      <c r="F460" s="9"/>
      <c r="G460" s="8"/>
      <c r="J460" s="10"/>
    </row>
    <row r="461">
      <c r="B461" s="8"/>
      <c r="F461" s="9"/>
      <c r="G461" s="8"/>
      <c r="J461" s="10"/>
    </row>
    <row r="462">
      <c r="B462" s="8"/>
      <c r="F462" s="9"/>
      <c r="G462" s="8"/>
      <c r="J462" s="10"/>
    </row>
    <row r="463">
      <c r="B463" s="8"/>
      <c r="F463" s="9"/>
      <c r="G463" s="8"/>
      <c r="J463" s="10"/>
    </row>
    <row r="464">
      <c r="B464" s="8"/>
      <c r="F464" s="9"/>
      <c r="G464" s="8"/>
      <c r="J464" s="10"/>
    </row>
    <row r="465">
      <c r="B465" s="8"/>
      <c r="F465" s="9"/>
      <c r="G465" s="8"/>
      <c r="J465" s="10"/>
    </row>
    <row r="466">
      <c r="B466" s="8"/>
      <c r="F466" s="9"/>
      <c r="G466" s="8"/>
      <c r="J466" s="10"/>
    </row>
    <row r="467">
      <c r="B467" s="8"/>
      <c r="F467" s="9"/>
      <c r="G467" s="8"/>
      <c r="J467" s="10"/>
    </row>
    <row r="468">
      <c r="B468" s="8"/>
      <c r="F468" s="9"/>
      <c r="G468" s="8"/>
      <c r="J468" s="10"/>
    </row>
    <row r="469">
      <c r="B469" s="8"/>
      <c r="F469" s="9"/>
      <c r="G469" s="8"/>
      <c r="J469" s="10"/>
    </row>
    <row r="470">
      <c r="B470" s="8"/>
      <c r="F470" s="9"/>
      <c r="G470" s="8"/>
      <c r="J470" s="10"/>
    </row>
    <row r="471">
      <c r="B471" s="8"/>
      <c r="F471" s="9"/>
      <c r="G471" s="8"/>
      <c r="J471" s="10"/>
    </row>
    <row r="472">
      <c r="B472" s="8"/>
      <c r="F472" s="9"/>
      <c r="G472" s="8"/>
      <c r="J472" s="10"/>
    </row>
    <row r="473">
      <c r="B473" s="8"/>
      <c r="F473" s="9"/>
      <c r="G473" s="8"/>
      <c r="J473" s="10"/>
    </row>
    <row r="474">
      <c r="B474" s="8"/>
      <c r="F474" s="9"/>
      <c r="G474" s="8"/>
      <c r="J474" s="10"/>
    </row>
    <row r="475">
      <c r="B475" s="8"/>
      <c r="F475" s="9"/>
      <c r="G475" s="8"/>
      <c r="J475" s="10"/>
    </row>
    <row r="476">
      <c r="B476" s="8"/>
      <c r="F476" s="9"/>
      <c r="G476" s="8"/>
      <c r="J476" s="10"/>
    </row>
    <row r="477">
      <c r="B477" s="8"/>
      <c r="F477" s="9"/>
      <c r="G477" s="8"/>
      <c r="J477" s="10"/>
    </row>
    <row r="478">
      <c r="B478" s="8"/>
      <c r="F478" s="9"/>
      <c r="G478" s="8"/>
      <c r="J478" s="10"/>
    </row>
    <row r="479">
      <c r="B479" s="8"/>
      <c r="F479" s="9"/>
      <c r="G479" s="8"/>
      <c r="J479" s="10"/>
    </row>
    <row r="480">
      <c r="B480" s="8"/>
      <c r="F480" s="9"/>
      <c r="G480" s="8"/>
      <c r="J480" s="10"/>
    </row>
    <row r="481">
      <c r="B481" s="8"/>
      <c r="F481" s="9"/>
      <c r="G481" s="8"/>
      <c r="J481" s="10"/>
    </row>
    <row r="482">
      <c r="B482" s="8"/>
      <c r="F482" s="9"/>
      <c r="G482" s="8"/>
      <c r="J482" s="10"/>
    </row>
    <row r="483">
      <c r="B483" s="8"/>
      <c r="F483" s="9"/>
      <c r="G483" s="8"/>
      <c r="J483" s="10"/>
    </row>
    <row r="484">
      <c r="B484" s="8"/>
      <c r="F484" s="9"/>
      <c r="G484" s="8"/>
      <c r="J484" s="10"/>
    </row>
    <row r="485">
      <c r="B485" s="8"/>
      <c r="F485" s="9"/>
      <c r="G485" s="8"/>
      <c r="J485" s="10"/>
    </row>
    <row r="486">
      <c r="B486" s="8"/>
      <c r="F486" s="9"/>
      <c r="G486" s="8"/>
      <c r="J486" s="10"/>
    </row>
    <row r="487">
      <c r="B487" s="8"/>
      <c r="F487" s="9"/>
      <c r="G487" s="8"/>
      <c r="J487" s="10"/>
    </row>
    <row r="488">
      <c r="B488" s="8"/>
      <c r="F488" s="9"/>
      <c r="G488" s="8"/>
      <c r="J488" s="10"/>
    </row>
    <row r="489">
      <c r="B489" s="8"/>
      <c r="F489" s="9"/>
      <c r="G489" s="8"/>
      <c r="J489" s="10"/>
    </row>
    <row r="490">
      <c r="B490" s="8"/>
      <c r="F490" s="9"/>
      <c r="G490" s="8"/>
      <c r="J490" s="10"/>
    </row>
    <row r="491">
      <c r="B491" s="8"/>
      <c r="F491" s="9"/>
      <c r="G491" s="8"/>
      <c r="J491" s="10"/>
    </row>
    <row r="492">
      <c r="B492" s="8"/>
      <c r="F492" s="9"/>
      <c r="G492" s="8"/>
      <c r="J492" s="10"/>
    </row>
    <row r="493">
      <c r="B493" s="8"/>
      <c r="F493" s="9"/>
      <c r="G493" s="8"/>
      <c r="J493" s="10"/>
    </row>
    <row r="494">
      <c r="B494" s="8"/>
      <c r="F494" s="9"/>
      <c r="G494" s="8"/>
      <c r="J494" s="10"/>
    </row>
    <row r="495">
      <c r="B495" s="8"/>
      <c r="F495" s="9"/>
      <c r="G495" s="8"/>
      <c r="J495" s="10"/>
    </row>
    <row r="496">
      <c r="B496" s="8"/>
      <c r="F496" s="9"/>
      <c r="G496" s="8"/>
      <c r="J496" s="10"/>
    </row>
    <row r="497">
      <c r="B497" s="8"/>
      <c r="F497" s="9"/>
      <c r="G497" s="8"/>
      <c r="J497" s="10"/>
    </row>
    <row r="498">
      <c r="B498" s="8"/>
      <c r="F498" s="9"/>
      <c r="G498" s="8"/>
      <c r="J498" s="10"/>
    </row>
    <row r="499">
      <c r="B499" s="8"/>
      <c r="F499" s="9"/>
      <c r="G499" s="8"/>
      <c r="J499" s="10"/>
    </row>
    <row r="500">
      <c r="B500" s="8"/>
      <c r="F500" s="9"/>
      <c r="G500" s="8"/>
      <c r="J500" s="10"/>
    </row>
    <row r="501">
      <c r="B501" s="8"/>
      <c r="F501" s="9"/>
      <c r="G501" s="8"/>
      <c r="J501" s="10"/>
    </row>
    <row r="502">
      <c r="B502" s="8"/>
      <c r="F502" s="9"/>
      <c r="G502" s="8"/>
      <c r="J502" s="10"/>
    </row>
    <row r="503">
      <c r="B503" s="8"/>
      <c r="F503" s="9"/>
      <c r="G503" s="8"/>
      <c r="J503" s="10"/>
    </row>
    <row r="504">
      <c r="B504" s="8"/>
      <c r="F504" s="9"/>
      <c r="G504" s="8"/>
      <c r="J504" s="10"/>
    </row>
    <row r="505">
      <c r="B505" s="8"/>
      <c r="F505" s="9"/>
      <c r="G505" s="8"/>
      <c r="J505" s="10"/>
    </row>
    <row r="506">
      <c r="B506" s="8"/>
      <c r="F506" s="9"/>
      <c r="G506" s="8"/>
      <c r="J506" s="10"/>
    </row>
    <row r="507">
      <c r="B507" s="8"/>
      <c r="F507" s="9"/>
      <c r="G507" s="8"/>
      <c r="J507" s="10"/>
    </row>
    <row r="508">
      <c r="B508" s="8"/>
      <c r="F508" s="9"/>
      <c r="G508" s="8"/>
      <c r="J508" s="10"/>
    </row>
    <row r="509">
      <c r="B509" s="8"/>
      <c r="F509" s="9"/>
      <c r="G509" s="8"/>
      <c r="J509" s="10"/>
    </row>
    <row r="510">
      <c r="B510" s="8"/>
      <c r="F510" s="9"/>
      <c r="G510" s="8"/>
      <c r="J510" s="10"/>
    </row>
    <row r="511">
      <c r="B511" s="8"/>
      <c r="F511" s="9"/>
      <c r="G511" s="8"/>
      <c r="J511" s="10"/>
    </row>
    <row r="512">
      <c r="B512" s="8"/>
      <c r="F512" s="9"/>
      <c r="G512" s="8"/>
      <c r="J512" s="10"/>
    </row>
    <row r="513">
      <c r="B513" s="8"/>
      <c r="F513" s="9"/>
      <c r="G513" s="8"/>
      <c r="J513" s="10"/>
    </row>
    <row r="514">
      <c r="B514" s="8"/>
      <c r="F514" s="9"/>
      <c r="G514" s="8"/>
      <c r="J514" s="10"/>
    </row>
    <row r="515">
      <c r="B515" s="8"/>
      <c r="F515" s="9"/>
      <c r="G515" s="8"/>
      <c r="J515" s="10"/>
    </row>
    <row r="516">
      <c r="B516" s="8"/>
      <c r="F516" s="9"/>
      <c r="G516" s="8"/>
      <c r="J516" s="10"/>
    </row>
    <row r="517">
      <c r="B517" s="8"/>
      <c r="F517" s="9"/>
      <c r="G517" s="8"/>
      <c r="J517" s="10"/>
    </row>
    <row r="518">
      <c r="B518" s="8"/>
      <c r="F518" s="9"/>
      <c r="G518" s="8"/>
      <c r="J518" s="10"/>
    </row>
    <row r="519">
      <c r="B519" s="8"/>
      <c r="F519" s="9"/>
      <c r="G519" s="8"/>
      <c r="J519" s="10"/>
    </row>
    <row r="520">
      <c r="B520" s="8"/>
      <c r="F520" s="9"/>
      <c r="G520" s="8"/>
      <c r="J520" s="10"/>
    </row>
    <row r="521">
      <c r="B521" s="8"/>
      <c r="F521" s="9"/>
      <c r="G521" s="8"/>
      <c r="J521" s="10"/>
    </row>
    <row r="522">
      <c r="B522" s="8"/>
      <c r="F522" s="9"/>
      <c r="G522" s="8"/>
      <c r="J522" s="10"/>
    </row>
    <row r="523">
      <c r="B523" s="8"/>
      <c r="F523" s="9"/>
      <c r="G523" s="8"/>
      <c r="J523" s="10"/>
    </row>
    <row r="524">
      <c r="B524" s="8"/>
      <c r="F524" s="9"/>
      <c r="G524" s="8"/>
      <c r="J524" s="10"/>
    </row>
    <row r="525">
      <c r="B525" s="8"/>
      <c r="F525" s="9"/>
      <c r="G525" s="8"/>
      <c r="J525" s="10"/>
    </row>
    <row r="526">
      <c r="B526" s="8"/>
      <c r="F526" s="9"/>
      <c r="G526" s="8"/>
      <c r="J526" s="10"/>
    </row>
    <row r="527">
      <c r="B527" s="8"/>
      <c r="F527" s="9"/>
      <c r="G527" s="8"/>
      <c r="J527" s="10"/>
    </row>
    <row r="528">
      <c r="B528" s="8"/>
      <c r="F528" s="9"/>
      <c r="G528" s="8"/>
      <c r="J528" s="10"/>
    </row>
    <row r="529">
      <c r="B529" s="8"/>
      <c r="F529" s="9"/>
      <c r="G529" s="8"/>
      <c r="J529" s="10"/>
    </row>
    <row r="530">
      <c r="B530" s="8"/>
      <c r="F530" s="9"/>
      <c r="G530" s="8"/>
      <c r="J530" s="10"/>
    </row>
    <row r="531">
      <c r="B531" s="8"/>
      <c r="F531" s="9"/>
      <c r="G531" s="8"/>
      <c r="J531" s="10"/>
    </row>
    <row r="532">
      <c r="B532" s="8"/>
      <c r="F532" s="9"/>
      <c r="G532" s="8"/>
      <c r="J532" s="10"/>
    </row>
    <row r="533">
      <c r="B533" s="8"/>
      <c r="F533" s="9"/>
      <c r="G533" s="8"/>
      <c r="J533" s="10"/>
    </row>
    <row r="534">
      <c r="B534" s="8"/>
      <c r="F534" s="9"/>
      <c r="G534" s="8"/>
      <c r="J534" s="10"/>
    </row>
    <row r="535">
      <c r="B535" s="8"/>
      <c r="F535" s="9"/>
      <c r="G535" s="8"/>
      <c r="J535" s="10"/>
    </row>
    <row r="536">
      <c r="B536" s="8"/>
      <c r="F536" s="9"/>
      <c r="G536" s="8"/>
      <c r="J536" s="10"/>
    </row>
    <row r="537">
      <c r="B537" s="8"/>
      <c r="F537" s="9"/>
      <c r="G537" s="8"/>
      <c r="J537" s="10"/>
    </row>
    <row r="538">
      <c r="B538" s="8"/>
      <c r="F538" s="9"/>
      <c r="G538" s="8"/>
      <c r="J538" s="10"/>
    </row>
    <row r="539">
      <c r="B539" s="8"/>
      <c r="F539" s="9"/>
      <c r="G539" s="8"/>
      <c r="J539" s="10"/>
    </row>
    <row r="540">
      <c r="B540" s="8"/>
      <c r="F540" s="9"/>
      <c r="G540" s="8"/>
      <c r="J540" s="10"/>
    </row>
    <row r="541">
      <c r="B541" s="8"/>
      <c r="F541" s="9"/>
      <c r="G541" s="8"/>
      <c r="J541" s="10"/>
    </row>
    <row r="542">
      <c r="B542" s="8"/>
      <c r="F542" s="9"/>
      <c r="G542" s="8"/>
      <c r="J542" s="10"/>
    </row>
    <row r="543">
      <c r="B543" s="8"/>
      <c r="F543" s="9"/>
      <c r="G543" s="8"/>
      <c r="J543" s="10"/>
    </row>
    <row r="544">
      <c r="B544" s="8"/>
      <c r="F544" s="9"/>
      <c r="G544" s="8"/>
      <c r="J544" s="10"/>
    </row>
    <row r="545">
      <c r="B545" s="8"/>
      <c r="F545" s="9"/>
      <c r="G545" s="8"/>
      <c r="J545" s="10"/>
    </row>
    <row r="546">
      <c r="B546" s="8"/>
      <c r="F546" s="9"/>
      <c r="G546" s="8"/>
      <c r="J546" s="10"/>
    </row>
    <row r="547">
      <c r="B547" s="8"/>
      <c r="F547" s="9"/>
      <c r="G547" s="8"/>
      <c r="J547" s="10"/>
    </row>
    <row r="548">
      <c r="B548" s="8"/>
      <c r="F548" s="9"/>
      <c r="G548" s="8"/>
      <c r="J548" s="10"/>
    </row>
    <row r="549">
      <c r="B549" s="8"/>
      <c r="F549" s="9"/>
      <c r="G549" s="8"/>
      <c r="J549" s="10"/>
    </row>
    <row r="550">
      <c r="B550" s="8"/>
      <c r="F550" s="9"/>
      <c r="G550" s="8"/>
      <c r="J550" s="10"/>
    </row>
    <row r="551">
      <c r="B551" s="8"/>
      <c r="F551" s="9"/>
      <c r="G551" s="8"/>
      <c r="J551" s="10"/>
    </row>
    <row r="552">
      <c r="B552" s="8"/>
      <c r="F552" s="9"/>
      <c r="G552" s="8"/>
      <c r="J552" s="10"/>
    </row>
    <row r="553">
      <c r="B553" s="8"/>
      <c r="F553" s="9"/>
      <c r="G553" s="8"/>
      <c r="J553" s="10"/>
    </row>
    <row r="554">
      <c r="B554" s="8"/>
      <c r="F554" s="9"/>
      <c r="G554" s="8"/>
      <c r="J554" s="10"/>
    </row>
    <row r="555">
      <c r="B555" s="8"/>
      <c r="F555" s="9"/>
      <c r="G555" s="8"/>
      <c r="J555" s="10"/>
    </row>
    <row r="556">
      <c r="B556" s="8"/>
      <c r="F556" s="9"/>
      <c r="G556" s="8"/>
      <c r="J556" s="10"/>
    </row>
    <row r="557">
      <c r="B557" s="8"/>
      <c r="F557" s="9"/>
      <c r="G557" s="8"/>
      <c r="J557" s="10"/>
    </row>
    <row r="558">
      <c r="B558" s="8"/>
      <c r="F558" s="9"/>
      <c r="G558" s="8"/>
      <c r="J558" s="10"/>
    </row>
    <row r="559">
      <c r="B559" s="8"/>
      <c r="F559" s="9"/>
      <c r="G559" s="8"/>
      <c r="J559" s="10"/>
    </row>
    <row r="560">
      <c r="B560" s="8"/>
      <c r="F560" s="9"/>
      <c r="G560" s="8"/>
      <c r="J560" s="10"/>
    </row>
    <row r="561">
      <c r="B561" s="8"/>
      <c r="F561" s="9"/>
      <c r="G561" s="8"/>
      <c r="J561" s="10"/>
    </row>
    <row r="562">
      <c r="B562" s="8"/>
      <c r="F562" s="9"/>
      <c r="G562" s="8"/>
      <c r="J562" s="10"/>
    </row>
    <row r="563">
      <c r="B563" s="8"/>
      <c r="F563" s="9"/>
      <c r="G563" s="8"/>
      <c r="J563" s="10"/>
    </row>
    <row r="564">
      <c r="B564" s="8"/>
      <c r="F564" s="9"/>
      <c r="G564" s="8"/>
      <c r="J564" s="10"/>
    </row>
    <row r="565">
      <c r="B565" s="8"/>
      <c r="F565" s="9"/>
      <c r="G565" s="8"/>
      <c r="J565" s="10"/>
    </row>
    <row r="566">
      <c r="B566" s="8"/>
      <c r="F566" s="9"/>
      <c r="G566" s="8"/>
      <c r="J566" s="10"/>
    </row>
    <row r="567">
      <c r="B567" s="8"/>
      <c r="F567" s="9"/>
      <c r="G567" s="8"/>
      <c r="J567" s="10"/>
    </row>
    <row r="568">
      <c r="B568" s="8"/>
      <c r="F568" s="9"/>
      <c r="G568" s="8"/>
      <c r="J568" s="10"/>
    </row>
    <row r="569">
      <c r="B569" s="8"/>
      <c r="F569" s="9"/>
      <c r="G569" s="8"/>
      <c r="J569" s="10"/>
    </row>
    <row r="570">
      <c r="B570" s="8"/>
      <c r="F570" s="9"/>
      <c r="G570" s="8"/>
      <c r="J570" s="10"/>
    </row>
    <row r="571">
      <c r="B571" s="8"/>
      <c r="F571" s="9"/>
      <c r="G571" s="8"/>
      <c r="J571" s="10"/>
    </row>
    <row r="572">
      <c r="B572" s="8"/>
      <c r="F572" s="9"/>
      <c r="G572" s="8"/>
      <c r="J572" s="10"/>
    </row>
    <row r="573">
      <c r="B573" s="8"/>
      <c r="F573" s="9"/>
      <c r="G573" s="8"/>
      <c r="J573" s="10"/>
    </row>
    <row r="574">
      <c r="B574" s="8"/>
      <c r="F574" s="9"/>
      <c r="G574" s="8"/>
      <c r="J574" s="10"/>
    </row>
    <row r="575">
      <c r="B575" s="8"/>
      <c r="F575" s="9"/>
      <c r="G575" s="8"/>
      <c r="J575" s="10"/>
    </row>
    <row r="576">
      <c r="B576" s="8"/>
      <c r="F576" s="9"/>
      <c r="G576" s="8"/>
      <c r="J576" s="10"/>
    </row>
    <row r="577">
      <c r="B577" s="8"/>
      <c r="F577" s="9"/>
      <c r="G577" s="8"/>
      <c r="J577" s="10"/>
    </row>
    <row r="578">
      <c r="B578" s="8"/>
      <c r="F578" s="9"/>
      <c r="G578" s="8"/>
      <c r="J578" s="10"/>
    </row>
    <row r="579">
      <c r="B579" s="8"/>
      <c r="F579" s="9"/>
      <c r="G579" s="8"/>
      <c r="J579" s="10"/>
    </row>
    <row r="580">
      <c r="B580" s="8"/>
      <c r="F580" s="9"/>
      <c r="G580" s="8"/>
      <c r="J580" s="10"/>
    </row>
    <row r="581">
      <c r="B581" s="8"/>
      <c r="F581" s="9"/>
      <c r="G581" s="8"/>
      <c r="J581" s="10"/>
    </row>
    <row r="582">
      <c r="B582" s="8"/>
      <c r="F582" s="9"/>
      <c r="G582" s="8"/>
      <c r="J582" s="10"/>
    </row>
    <row r="583">
      <c r="B583" s="8"/>
      <c r="F583" s="9"/>
      <c r="G583" s="8"/>
      <c r="J583" s="10"/>
    </row>
    <row r="584">
      <c r="B584" s="8"/>
      <c r="F584" s="9"/>
      <c r="G584" s="8"/>
      <c r="J584" s="10"/>
    </row>
    <row r="585">
      <c r="B585" s="8"/>
      <c r="F585" s="9"/>
      <c r="G585" s="8"/>
      <c r="J585" s="10"/>
    </row>
    <row r="586">
      <c r="B586" s="8"/>
      <c r="F586" s="9"/>
      <c r="G586" s="8"/>
      <c r="J586" s="10"/>
    </row>
    <row r="587">
      <c r="B587" s="8"/>
      <c r="F587" s="9"/>
      <c r="G587" s="8"/>
      <c r="J587" s="10"/>
    </row>
    <row r="588">
      <c r="B588" s="8"/>
      <c r="F588" s="9"/>
      <c r="G588" s="8"/>
      <c r="J588" s="10"/>
    </row>
    <row r="589">
      <c r="B589" s="8"/>
      <c r="F589" s="9"/>
      <c r="G589" s="8"/>
      <c r="J589" s="10"/>
    </row>
    <row r="590">
      <c r="B590" s="8"/>
      <c r="F590" s="9"/>
      <c r="G590" s="8"/>
      <c r="J590" s="10"/>
    </row>
    <row r="591">
      <c r="B591" s="8"/>
      <c r="F591" s="9"/>
      <c r="G591" s="8"/>
      <c r="J591" s="10"/>
    </row>
    <row r="592">
      <c r="B592" s="8"/>
      <c r="F592" s="9"/>
      <c r="G592" s="8"/>
      <c r="J592" s="10"/>
    </row>
    <row r="593">
      <c r="B593" s="8"/>
      <c r="F593" s="9"/>
      <c r="G593" s="8"/>
      <c r="J593" s="10"/>
    </row>
    <row r="594">
      <c r="B594" s="8"/>
      <c r="F594" s="9"/>
      <c r="G594" s="8"/>
      <c r="J594" s="10"/>
    </row>
    <row r="595">
      <c r="B595" s="8"/>
      <c r="F595" s="9"/>
      <c r="G595" s="8"/>
      <c r="J595" s="10"/>
    </row>
    <row r="596">
      <c r="B596" s="8"/>
      <c r="F596" s="9"/>
      <c r="G596" s="8"/>
      <c r="J596" s="10"/>
    </row>
    <row r="597">
      <c r="B597" s="8"/>
      <c r="F597" s="9"/>
      <c r="G597" s="8"/>
      <c r="J597" s="10"/>
    </row>
    <row r="598">
      <c r="B598" s="8"/>
      <c r="F598" s="9"/>
      <c r="G598" s="8"/>
      <c r="J598" s="10"/>
    </row>
    <row r="599">
      <c r="B599" s="8"/>
      <c r="F599" s="9"/>
      <c r="G599" s="8"/>
      <c r="J599" s="10"/>
    </row>
    <row r="600">
      <c r="B600" s="8"/>
      <c r="F600" s="9"/>
      <c r="G600" s="8"/>
      <c r="J600" s="10"/>
    </row>
    <row r="601">
      <c r="B601" s="8"/>
      <c r="F601" s="9"/>
      <c r="G601" s="8"/>
      <c r="J601" s="10"/>
    </row>
    <row r="602">
      <c r="B602" s="8"/>
      <c r="F602" s="9"/>
      <c r="G602" s="8"/>
      <c r="J602" s="10"/>
    </row>
    <row r="603">
      <c r="B603" s="8"/>
      <c r="F603" s="9"/>
      <c r="G603" s="8"/>
      <c r="J603" s="10"/>
    </row>
    <row r="604">
      <c r="B604" s="8"/>
      <c r="F604" s="9"/>
      <c r="G604" s="8"/>
      <c r="J604" s="10"/>
    </row>
    <row r="605">
      <c r="B605" s="8"/>
      <c r="F605" s="9"/>
      <c r="G605" s="8"/>
      <c r="J605" s="10"/>
    </row>
    <row r="606">
      <c r="B606" s="8"/>
      <c r="F606" s="9"/>
      <c r="G606" s="8"/>
      <c r="J606" s="10"/>
    </row>
    <row r="607">
      <c r="B607" s="8"/>
      <c r="F607" s="9"/>
      <c r="G607" s="8"/>
      <c r="J607" s="10"/>
    </row>
    <row r="608">
      <c r="B608" s="8"/>
      <c r="F608" s="9"/>
      <c r="G608" s="8"/>
      <c r="J608" s="10"/>
    </row>
    <row r="609">
      <c r="B609" s="8"/>
      <c r="F609" s="9"/>
      <c r="G609" s="8"/>
      <c r="J609" s="10"/>
    </row>
    <row r="610">
      <c r="B610" s="8"/>
      <c r="F610" s="9"/>
      <c r="G610" s="8"/>
      <c r="J610" s="10"/>
    </row>
    <row r="611">
      <c r="B611" s="8"/>
      <c r="F611" s="9"/>
      <c r="G611" s="8"/>
      <c r="J611" s="10"/>
    </row>
    <row r="612">
      <c r="B612" s="8"/>
      <c r="F612" s="9"/>
      <c r="G612" s="8"/>
      <c r="J612" s="10"/>
    </row>
    <row r="613">
      <c r="B613" s="8"/>
      <c r="F613" s="9"/>
      <c r="G613" s="8"/>
      <c r="J613" s="10"/>
    </row>
    <row r="614">
      <c r="B614" s="8"/>
      <c r="F614" s="9"/>
      <c r="G614" s="8"/>
      <c r="J614" s="10"/>
    </row>
    <row r="615">
      <c r="B615" s="8"/>
      <c r="F615" s="9"/>
      <c r="G615" s="8"/>
      <c r="J615" s="10"/>
    </row>
    <row r="616">
      <c r="B616" s="8"/>
      <c r="F616" s="9"/>
      <c r="G616" s="8"/>
      <c r="J616" s="10"/>
    </row>
    <row r="617">
      <c r="B617" s="8"/>
      <c r="F617" s="9"/>
      <c r="G617" s="8"/>
      <c r="J617" s="10"/>
    </row>
    <row r="618">
      <c r="B618" s="8"/>
      <c r="F618" s="9"/>
      <c r="G618" s="8"/>
      <c r="J618" s="10"/>
    </row>
    <row r="619">
      <c r="B619" s="8"/>
      <c r="F619" s="9"/>
      <c r="G619" s="8"/>
      <c r="J619" s="10"/>
    </row>
    <row r="620">
      <c r="B620" s="8"/>
      <c r="F620" s="9"/>
      <c r="G620" s="8"/>
      <c r="J620" s="10"/>
    </row>
    <row r="621">
      <c r="B621" s="8"/>
      <c r="F621" s="9"/>
      <c r="G621" s="8"/>
      <c r="J621" s="10"/>
    </row>
    <row r="622">
      <c r="B622" s="8"/>
      <c r="F622" s="9"/>
      <c r="G622" s="8"/>
      <c r="J622" s="10"/>
    </row>
    <row r="623">
      <c r="B623" s="8"/>
      <c r="F623" s="9"/>
      <c r="G623" s="8"/>
      <c r="J623" s="10"/>
    </row>
    <row r="624">
      <c r="B624" s="8"/>
      <c r="F624" s="9"/>
      <c r="G624" s="8"/>
      <c r="J624" s="10"/>
    </row>
    <row r="625">
      <c r="B625" s="8"/>
      <c r="F625" s="9"/>
      <c r="G625" s="8"/>
      <c r="J625" s="10"/>
    </row>
    <row r="626">
      <c r="B626" s="8"/>
      <c r="F626" s="9"/>
      <c r="G626" s="8"/>
      <c r="J626" s="10"/>
    </row>
    <row r="627">
      <c r="B627" s="8"/>
      <c r="F627" s="9"/>
      <c r="G627" s="8"/>
      <c r="J627" s="10"/>
    </row>
    <row r="628">
      <c r="B628" s="8"/>
      <c r="F628" s="9"/>
      <c r="G628" s="8"/>
      <c r="J628" s="10"/>
    </row>
    <row r="629">
      <c r="B629" s="8"/>
      <c r="F629" s="9"/>
      <c r="G629" s="8"/>
      <c r="J629" s="10"/>
    </row>
    <row r="630">
      <c r="B630" s="8"/>
      <c r="F630" s="9"/>
      <c r="G630" s="8"/>
      <c r="J630" s="10"/>
    </row>
    <row r="631">
      <c r="B631" s="8"/>
      <c r="F631" s="9"/>
      <c r="G631" s="8"/>
      <c r="J631" s="10"/>
    </row>
    <row r="632">
      <c r="B632" s="8"/>
      <c r="F632" s="9"/>
      <c r="G632" s="8"/>
      <c r="J632" s="10"/>
    </row>
    <row r="633">
      <c r="B633" s="8"/>
      <c r="F633" s="9"/>
      <c r="G633" s="8"/>
      <c r="J633" s="10"/>
    </row>
    <row r="634">
      <c r="B634" s="8"/>
      <c r="F634" s="9"/>
      <c r="G634" s="8"/>
      <c r="J634" s="10"/>
    </row>
    <row r="635">
      <c r="B635" s="8"/>
      <c r="F635" s="9"/>
      <c r="G635" s="8"/>
      <c r="J635" s="10"/>
    </row>
    <row r="636">
      <c r="B636" s="8"/>
      <c r="F636" s="9"/>
      <c r="G636" s="8"/>
      <c r="J636" s="10"/>
    </row>
    <row r="637">
      <c r="B637" s="8"/>
      <c r="F637" s="9"/>
      <c r="G637" s="8"/>
      <c r="J637" s="10"/>
    </row>
    <row r="638">
      <c r="B638" s="8"/>
      <c r="F638" s="9"/>
      <c r="G638" s="8"/>
      <c r="J638" s="10"/>
    </row>
    <row r="639">
      <c r="B639" s="8"/>
      <c r="F639" s="9"/>
      <c r="G639" s="8"/>
      <c r="J639" s="10"/>
    </row>
    <row r="640">
      <c r="B640" s="8"/>
      <c r="F640" s="9"/>
      <c r="G640" s="8"/>
      <c r="J640" s="10"/>
    </row>
    <row r="641">
      <c r="B641" s="8"/>
      <c r="F641" s="9"/>
      <c r="G641" s="8"/>
      <c r="J641" s="10"/>
    </row>
    <row r="642">
      <c r="B642" s="8"/>
      <c r="F642" s="9"/>
      <c r="G642" s="8"/>
      <c r="J642" s="10"/>
    </row>
    <row r="643">
      <c r="B643" s="8"/>
      <c r="F643" s="9"/>
      <c r="G643" s="8"/>
      <c r="J643" s="10"/>
    </row>
    <row r="644">
      <c r="B644" s="8"/>
      <c r="F644" s="9"/>
      <c r="G644" s="8"/>
      <c r="J644" s="10"/>
    </row>
    <row r="645">
      <c r="B645" s="8"/>
      <c r="F645" s="9"/>
      <c r="G645" s="8"/>
      <c r="J645" s="10"/>
    </row>
    <row r="646">
      <c r="B646" s="8"/>
      <c r="F646" s="9"/>
      <c r="G646" s="8"/>
      <c r="J646" s="10"/>
    </row>
    <row r="647">
      <c r="B647" s="8"/>
      <c r="F647" s="9"/>
      <c r="G647" s="8"/>
      <c r="J647" s="10"/>
    </row>
    <row r="648">
      <c r="B648" s="8"/>
      <c r="F648" s="9"/>
      <c r="G648" s="8"/>
      <c r="J648" s="10"/>
    </row>
    <row r="649">
      <c r="B649" s="8"/>
      <c r="F649" s="9"/>
      <c r="G649" s="8"/>
      <c r="J649" s="10"/>
    </row>
    <row r="650">
      <c r="B650" s="8"/>
      <c r="F650" s="9"/>
      <c r="G650" s="8"/>
      <c r="J650" s="10"/>
    </row>
    <row r="651">
      <c r="B651" s="8"/>
      <c r="F651" s="9"/>
      <c r="G651" s="8"/>
      <c r="J651" s="10"/>
    </row>
    <row r="652">
      <c r="B652" s="8"/>
      <c r="F652" s="9"/>
      <c r="G652" s="8"/>
      <c r="J652" s="10"/>
    </row>
    <row r="653">
      <c r="B653" s="8"/>
      <c r="F653" s="9"/>
      <c r="G653" s="8"/>
      <c r="J653" s="10"/>
    </row>
    <row r="654">
      <c r="B654" s="8"/>
      <c r="F654" s="9"/>
      <c r="G654" s="8"/>
      <c r="J654" s="10"/>
    </row>
    <row r="655">
      <c r="B655" s="8"/>
      <c r="F655" s="9"/>
      <c r="G655" s="8"/>
      <c r="J655" s="10"/>
    </row>
    <row r="656">
      <c r="B656" s="8"/>
      <c r="F656" s="9"/>
      <c r="G656" s="8"/>
      <c r="J656" s="10"/>
    </row>
    <row r="657">
      <c r="B657" s="8"/>
      <c r="F657" s="9"/>
      <c r="G657" s="8"/>
      <c r="J657" s="10"/>
    </row>
    <row r="658">
      <c r="B658" s="8"/>
      <c r="F658" s="9"/>
      <c r="G658" s="8"/>
      <c r="J658" s="10"/>
    </row>
    <row r="659">
      <c r="B659" s="8"/>
      <c r="F659" s="9"/>
      <c r="G659" s="8"/>
      <c r="J659" s="10"/>
    </row>
    <row r="660">
      <c r="B660" s="8"/>
      <c r="F660" s="9"/>
      <c r="G660" s="8"/>
      <c r="J660" s="10"/>
    </row>
    <row r="661">
      <c r="B661" s="8"/>
      <c r="F661" s="9"/>
      <c r="G661" s="8"/>
      <c r="J661" s="10"/>
    </row>
    <row r="662">
      <c r="B662" s="8"/>
      <c r="F662" s="9"/>
      <c r="G662" s="8"/>
      <c r="J662" s="10"/>
    </row>
    <row r="663">
      <c r="B663" s="8"/>
      <c r="F663" s="9"/>
      <c r="G663" s="8"/>
      <c r="J663" s="10"/>
    </row>
    <row r="664">
      <c r="B664" s="8"/>
      <c r="F664" s="9"/>
      <c r="G664" s="8"/>
      <c r="J664" s="10"/>
    </row>
    <row r="665">
      <c r="B665" s="8"/>
      <c r="F665" s="9"/>
      <c r="G665" s="8"/>
      <c r="J665" s="10"/>
    </row>
    <row r="666">
      <c r="B666" s="8"/>
      <c r="F666" s="9"/>
      <c r="G666" s="8"/>
      <c r="J666" s="10"/>
    </row>
    <row r="667">
      <c r="B667" s="8"/>
      <c r="F667" s="9"/>
      <c r="G667" s="8"/>
      <c r="J667" s="10"/>
    </row>
    <row r="668">
      <c r="B668" s="8"/>
      <c r="F668" s="9"/>
      <c r="G668" s="8"/>
      <c r="J668" s="10"/>
    </row>
    <row r="669">
      <c r="B669" s="8"/>
      <c r="F669" s="9"/>
      <c r="G669" s="8"/>
      <c r="J669" s="10"/>
    </row>
    <row r="670">
      <c r="B670" s="8"/>
      <c r="F670" s="9"/>
      <c r="G670" s="8"/>
      <c r="J670" s="10"/>
    </row>
    <row r="671">
      <c r="B671" s="8"/>
      <c r="F671" s="9"/>
      <c r="G671" s="8"/>
      <c r="J671" s="10"/>
    </row>
    <row r="672">
      <c r="B672" s="8"/>
      <c r="F672" s="9"/>
      <c r="G672" s="8"/>
      <c r="J672" s="10"/>
    </row>
    <row r="673">
      <c r="B673" s="8"/>
      <c r="F673" s="9"/>
      <c r="G673" s="8"/>
      <c r="J673" s="10"/>
    </row>
    <row r="674">
      <c r="B674" s="8"/>
      <c r="F674" s="9"/>
      <c r="G674" s="8"/>
      <c r="J674" s="10"/>
    </row>
    <row r="675">
      <c r="B675" s="8"/>
      <c r="F675" s="9"/>
      <c r="G675" s="8"/>
      <c r="J675" s="10"/>
    </row>
    <row r="676">
      <c r="B676" s="8"/>
      <c r="F676" s="9"/>
      <c r="G676" s="8"/>
      <c r="J676" s="10"/>
    </row>
    <row r="677">
      <c r="B677" s="8"/>
      <c r="F677" s="9"/>
      <c r="G677" s="8"/>
      <c r="J677" s="10"/>
    </row>
    <row r="678">
      <c r="B678" s="8"/>
      <c r="F678" s="9"/>
      <c r="G678" s="8"/>
      <c r="J678" s="10"/>
    </row>
    <row r="679">
      <c r="B679" s="8"/>
      <c r="F679" s="9"/>
      <c r="G679" s="8"/>
      <c r="J679" s="10"/>
    </row>
    <row r="680">
      <c r="B680" s="8"/>
      <c r="F680" s="9"/>
      <c r="G680" s="8"/>
      <c r="J680" s="10"/>
    </row>
    <row r="681">
      <c r="B681" s="8"/>
      <c r="F681" s="9"/>
      <c r="G681" s="8"/>
      <c r="J681" s="10"/>
    </row>
    <row r="682">
      <c r="B682" s="8"/>
      <c r="F682" s="9"/>
      <c r="G682" s="8"/>
      <c r="J682" s="10"/>
    </row>
    <row r="683">
      <c r="B683" s="8"/>
      <c r="F683" s="9"/>
      <c r="G683" s="8"/>
      <c r="J683" s="10"/>
    </row>
    <row r="684">
      <c r="B684" s="8"/>
      <c r="F684" s="9"/>
      <c r="G684" s="8"/>
      <c r="J684" s="10"/>
    </row>
    <row r="685">
      <c r="B685" s="8"/>
      <c r="F685" s="9"/>
      <c r="G685" s="8"/>
      <c r="J685" s="10"/>
    </row>
    <row r="686">
      <c r="B686" s="8"/>
      <c r="F686" s="9"/>
      <c r="G686" s="8"/>
      <c r="J686" s="10"/>
    </row>
    <row r="687">
      <c r="B687" s="8"/>
      <c r="F687" s="9"/>
      <c r="G687" s="8"/>
      <c r="J687" s="10"/>
    </row>
    <row r="688">
      <c r="B688" s="8"/>
      <c r="F688" s="9"/>
      <c r="G688" s="8"/>
      <c r="J688" s="10"/>
    </row>
    <row r="689">
      <c r="B689" s="8"/>
      <c r="F689" s="9"/>
      <c r="G689" s="8"/>
      <c r="J689" s="10"/>
    </row>
    <row r="690">
      <c r="B690" s="8"/>
      <c r="F690" s="9"/>
      <c r="G690" s="8"/>
      <c r="J690" s="10"/>
    </row>
    <row r="691">
      <c r="B691" s="8"/>
      <c r="F691" s="9"/>
      <c r="G691" s="8"/>
      <c r="J691" s="10"/>
    </row>
    <row r="692">
      <c r="B692" s="8"/>
      <c r="F692" s="9"/>
      <c r="G692" s="8"/>
      <c r="J692" s="10"/>
    </row>
    <row r="693">
      <c r="B693" s="8"/>
      <c r="F693" s="9"/>
      <c r="G693" s="8"/>
      <c r="J693" s="10"/>
    </row>
    <row r="694">
      <c r="B694" s="8"/>
      <c r="F694" s="9"/>
      <c r="G694" s="8"/>
      <c r="J694" s="10"/>
    </row>
    <row r="695">
      <c r="B695" s="8"/>
      <c r="F695" s="9"/>
      <c r="G695" s="8"/>
      <c r="J695" s="10"/>
    </row>
    <row r="696">
      <c r="B696" s="8"/>
      <c r="F696" s="9"/>
      <c r="G696" s="8"/>
      <c r="J696" s="10"/>
    </row>
    <row r="697">
      <c r="B697" s="8"/>
      <c r="F697" s="9"/>
      <c r="G697" s="8"/>
      <c r="J697" s="10"/>
    </row>
    <row r="698">
      <c r="B698" s="8"/>
      <c r="F698" s="9"/>
      <c r="G698" s="8"/>
      <c r="J698" s="10"/>
    </row>
    <row r="699">
      <c r="B699" s="8"/>
      <c r="F699" s="9"/>
      <c r="G699" s="8"/>
      <c r="J699" s="10"/>
    </row>
    <row r="700">
      <c r="B700" s="8"/>
      <c r="F700" s="9"/>
      <c r="G700" s="8"/>
      <c r="J700" s="10"/>
    </row>
    <row r="701">
      <c r="B701" s="8"/>
      <c r="F701" s="9"/>
      <c r="G701" s="8"/>
      <c r="J701" s="10"/>
    </row>
    <row r="702">
      <c r="B702" s="8"/>
      <c r="F702" s="9"/>
      <c r="G702" s="8"/>
      <c r="J702" s="10"/>
    </row>
    <row r="703">
      <c r="B703" s="8"/>
      <c r="F703" s="9"/>
      <c r="G703" s="8"/>
      <c r="J703" s="10"/>
    </row>
    <row r="704">
      <c r="B704" s="8"/>
      <c r="F704" s="9"/>
      <c r="G704" s="8"/>
      <c r="J704" s="10"/>
    </row>
    <row r="705">
      <c r="B705" s="8"/>
      <c r="F705" s="9"/>
      <c r="G705" s="8"/>
      <c r="J705" s="10"/>
    </row>
    <row r="706">
      <c r="B706" s="8"/>
      <c r="F706" s="9"/>
      <c r="G706" s="8"/>
      <c r="J706" s="10"/>
    </row>
    <row r="707">
      <c r="B707" s="8"/>
      <c r="F707" s="9"/>
      <c r="G707" s="8"/>
      <c r="J707" s="10"/>
    </row>
    <row r="708">
      <c r="B708" s="8"/>
      <c r="F708" s="9"/>
      <c r="G708" s="8"/>
      <c r="J708" s="10"/>
    </row>
    <row r="709">
      <c r="B709" s="8"/>
      <c r="F709" s="9"/>
      <c r="G709" s="8"/>
      <c r="J709" s="10"/>
    </row>
    <row r="710">
      <c r="B710" s="8"/>
      <c r="F710" s="9"/>
      <c r="G710" s="8"/>
      <c r="J710" s="10"/>
    </row>
    <row r="711">
      <c r="B711" s="8"/>
      <c r="F711" s="9"/>
      <c r="G711" s="8"/>
      <c r="J711" s="10"/>
    </row>
    <row r="712">
      <c r="B712" s="8"/>
      <c r="F712" s="9"/>
      <c r="G712" s="8"/>
      <c r="J712" s="10"/>
    </row>
    <row r="713">
      <c r="B713" s="8"/>
      <c r="F713" s="9"/>
      <c r="G713" s="8"/>
      <c r="J713" s="10"/>
    </row>
    <row r="714">
      <c r="B714" s="8"/>
      <c r="F714" s="9"/>
      <c r="G714" s="8"/>
      <c r="J714" s="10"/>
    </row>
    <row r="715">
      <c r="B715" s="8"/>
      <c r="F715" s="9"/>
      <c r="G715" s="8"/>
      <c r="J715" s="10"/>
    </row>
    <row r="716">
      <c r="B716" s="8"/>
      <c r="F716" s="9"/>
      <c r="G716" s="8"/>
      <c r="J716" s="10"/>
    </row>
    <row r="717">
      <c r="B717" s="8"/>
      <c r="F717" s="9"/>
      <c r="G717" s="8"/>
      <c r="J717" s="10"/>
    </row>
    <row r="718">
      <c r="B718" s="8"/>
      <c r="F718" s="9"/>
      <c r="G718" s="8"/>
      <c r="J718" s="10"/>
    </row>
    <row r="719">
      <c r="B719" s="8"/>
      <c r="F719" s="9"/>
      <c r="G719" s="8"/>
      <c r="J719" s="10"/>
    </row>
    <row r="720">
      <c r="B720" s="8"/>
      <c r="F720" s="9"/>
      <c r="G720" s="8"/>
      <c r="J720" s="10"/>
    </row>
    <row r="721">
      <c r="B721" s="8"/>
      <c r="F721" s="9"/>
      <c r="G721" s="8"/>
      <c r="J721" s="10"/>
    </row>
    <row r="722">
      <c r="B722" s="8"/>
      <c r="F722" s="9"/>
      <c r="G722" s="8"/>
      <c r="J722" s="10"/>
    </row>
    <row r="723">
      <c r="B723" s="8"/>
      <c r="F723" s="9"/>
      <c r="G723" s="8"/>
      <c r="J723" s="10"/>
    </row>
    <row r="724">
      <c r="B724" s="8"/>
      <c r="F724" s="9"/>
      <c r="G724" s="8"/>
      <c r="J724" s="10"/>
    </row>
    <row r="725">
      <c r="B725" s="8"/>
      <c r="F725" s="9"/>
      <c r="G725" s="8"/>
      <c r="J725" s="10"/>
    </row>
    <row r="726">
      <c r="B726" s="8"/>
      <c r="F726" s="9"/>
      <c r="G726" s="8"/>
      <c r="J726" s="10"/>
    </row>
    <row r="727">
      <c r="B727" s="8"/>
      <c r="F727" s="9"/>
      <c r="G727" s="8"/>
      <c r="J727" s="10"/>
    </row>
    <row r="728">
      <c r="B728" s="8"/>
      <c r="F728" s="9"/>
      <c r="G728" s="8"/>
      <c r="J728" s="10"/>
    </row>
    <row r="729">
      <c r="B729" s="8"/>
      <c r="F729" s="9"/>
      <c r="G729" s="8"/>
      <c r="J729" s="10"/>
    </row>
    <row r="730">
      <c r="B730" s="8"/>
      <c r="F730" s="9"/>
      <c r="G730" s="8"/>
      <c r="J730" s="10"/>
    </row>
    <row r="731">
      <c r="B731" s="8"/>
      <c r="F731" s="9"/>
      <c r="G731" s="8"/>
      <c r="J731" s="10"/>
    </row>
    <row r="732">
      <c r="B732" s="8"/>
      <c r="F732" s="9"/>
      <c r="G732" s="8"/>
      <c r="J732" s="10"/>
    </row>
    <row r="733">
      <c r="B733" s="8"/>
      <c r="F733" s="9"/>
      <c r="G733" s="8"/>
      <c r="J733" s="10"/>
    </row>
    <row r="734">
      <c r="B734" s="8"/>
      <c r="F734" s="9"/>
      <c r="G734" s="8"/>
      <c r="J734" s="10"/>
    </row>
    <row r="735">
      <c r="B735" s="8"/>
      <c r="F735" s="9"/>
      <c r="G735" s="8"/>
      <c r="J735" s="10"/>
    </row>
    <row r="736">
      <c r="B736" s="8"/>
      <c r="F736" s="9"/>
      <c r="G736" s="8"/>
      <c r="J736" s="10"/>
    </row>
    <row r="737">
      <c r="B737" s="8"/>
      <c r="F737" s="9"/>
      <c r="G737" s="8"/>
      <c r="J737" s="10"/>
    </row>
    <row r="738">
      <c r="B738" s="8"/>
      <c r="F738" s="9"/>
      <c r="G738" s="8"/>
      <c r="J738" s="10"/>
    </row>
    <row r="739">
      <c r="B739" s="8"/>
      <c r="F739" s="9"/>
      <c r="G739" s="8"/>
      <c r="J739" s="10"/>
    </row>
    <row r="740">
      <c r="B740" s="8"/>
      <c r="F740" s="9"/>
      <c r="G740" s="8"/>
      <c r="J740" s="10"/>
    </row>
    <row r="741">
      <c r="B741" s="8"/>
      <c r="F741" s="9"/>
      <c r="G741" s="8"/>
      <c r="J741" s="10"/>
    </row>
    <row r="742">
      <c r="B742" s="8"/>
      <c r="F742" s="9"/>
      <c r="G742" s="8"/>
      <c r="J742" s="10"/>
    </row>
    <row r="743">
      <c r="B743" s="8"/>
      <c r="F743" s="9"/>
      <c r="G743" s="8"/>
      <c r="J743" s="10"/>
    </row>
    <row r="744">
      <c r="B744" s="8"/>
      <c r="F744" s="9"/>
      <c r="G744" s="8"/>
      <c r="J744" s="10"/>
    </row>
    <row r="745">
      <c r="B745" s="8"/>
      <c r="F745" s="9"/>
      <c r="G745" s="8"/>
      <c r="J745" s="10"/>
    </row>
    <row r="746">
      <c r="B746" s="8"/>
      <c r="F746" s="9"/>
      <c r="G746" s="8"/>
      <c r="J746" s="10"/>
    </row>
    <row r="747">
      <c r="B747" s="8"/>
      <c r="F747" s="9"/>
      <c r="G747" s="8"/>
      <c r="J747" s="10"/>
    </row>
    <row r="748">
      <c r="B748" s="8"/>
      <c r="F748" s="9"/>
      <c r="G748" s="8"/>
      <c r="J748" s="10"/>
    </row>
    <row r="749">
      <c r="B749" s="8"/>
      <c r="F749" s="9"/>
      <c r="G749" s="8"/>
      <c r="J749" s="10"/>
    </row>
    <row r="750">
      <c r="B750" s="8"/>
      <c r="F750" s="9"/>
      <c r="G750" s="8"/>
      <c r="J750" s="10"/>
    </row>
    <row r="751">
      <c r="B751" s="8"/>
      <c r="F751" s="9"/>
      <c r="G751" s="8"/>
      <c r="J751" s="10"/>
    </row>
    <row r="752">
      <c r="B752" s="8"/>
      <c r="F752" s="9"/>
      <c r="G752" s="8"/>
      <c r="J752" s="10"/>
    </row>
    <row r="753">
      <c r="B753" s="8"/>
      <c r="F753" s="9"/>
      <c r="G753" s="8"/>
      <c r="J753" s="10"/>
    </row>
    <row r="754">
      <c r="B754" s="8"/>
      <c r="F754" s="9"/>
      <c r="G754" s="8"/>
      <c r="J754" s="10"/>
    </row>
    <row r="755">
      <c r="B755" s="8"/>
      <c r="F755" s="9"/>
      <c r="G755" s="8"/>
      <c r="J755" s="10"/>
    </row>
    <row r="756">
      <c r="B756" s="8"/>
      <c r="F756" s="9"/>
      <c r="G756" s="8"/>
      <c r="J756" s="10"/>
    </row>
    <row r="757">
      <c r="B757" s="8"/>
      <c r="F757" s="9"/>
      <c r="G757" s="8"/>
      <c r="J757" s="10"/>
    </row>
    <row r="758">
      <c r="B758" s="8"/>
      <c r="F758" s="9"/>
      <c r="G758" s="8"/>
      <c r="J758" s="10"/>
    </row>
    <row r="759">
      <c r="B759" s="8"/>
      <c r="F759" s="9"/>
      <c r="G759" s="8"/>
      <c r="J759" s="10"/>
    </row>
    <row r="760">
      <c r="B760" s="8"/>
      <c r="F760" s="9"/>
      <c r="G760" s="8"/>
      <c r="J760" s="10"/>
    </row>
    <row r="761">
      <c r="B761" s="8"/>
      <c r="F761" s="9"/>
      <c r="G761" s="8"/>
      <c r="J761" s="10"/>
    </row>
    <row r="762">
      <c r="B762" s="8"/>
      <c r="F762" s="9"/>
      <c r="G762" s="8"/>
      <c r="J762" s="10"/>
    </row>
    <row r="763">
      <c r="B763" s="8"/>
      <c r="F763" s="9"/>
      <c r="G763" s="8"/>
      <c r="J763" s="10"/>
    </row>
    <row r="764">
      <c r="B764" s="8"/>
      <c r="F764" s="9"/>
      <c r="G764" s="8"/>
      <c r="J764" s="10"/>
    </row>
    <row r="765">
      <c r="B765" s="8"/>
      <c r="F765" s="9"/>
      <c r="G765" s="8"/>
      <c r="J765" s="10"/>
    </row>
    <row r="766">
      <c r="B766" s="8"/>
      <c r="F766" s="9"/>
      <c r="G766" s="8"/>
      <c r="J766" s="10"/>
    </row>
    <row r="767">
      <c r="B767" s="8"/>
      <c r="F767" s="9"/>
      <c r="G767" s="8"/>
      <c r="J767" s="10"/>
    </row>
    <row r="768">
      <c r="B768" s="8"/>
      <c r="F768" s="9"/>
      <c r="G768" s="8"/>
      <c r="J768" s="10"/>
    </row>
    <row r="769">
      <c r="B769" s="8"/>
      <c r="F769" s="9"/>
      <c r="G769" s="8"/>
      <c r="J769" s="10"/>
    </row>
    <row r="770">
      <c r="B770" s="8"/>
      <c r="F770" s="9"/>
      <c r="G770" s="8"/>
      <c r="J770" s="10"/>
    </row>
    <row r="771">
      <c r="B771" s="8"/>
      <c r="F771" s="9"/>
      <c r="G771" s="8"/>
      <c r="J771" s="10"/>
    </row>
    <row r="772">
      <c r="B772" s="8"/>
      <c r="F772" s="9"/>
      <c r="G772" s="8"/>
      <c r="J772" s="10"/>
    </row>
    <row r="773">
      <c r="B773" s="8"/>
      <c r="F773" s="9"/>
      <c r="G773" s="8"/>
      <c r="J773" s="10"/>
    </row>
    <row r="774">
      <c r="B774" s="8"/>
      <c r="F774" s="9"/>
      <c r="G774" s="8"/>
      <c r="J774" s="10"/>
    </row>
    <row r="775">
      <c r="B775" s="8"/>
      <c r="F775" s="9"/>
      <c r="G775" s="8"/>
      <c r="J775" s="10"/>
    </row>
    <row r="776">
      <c r="B776" s="8"/>
      <c r="F776" s="9"/>
      <c r="G776" s="8"/>
      <c r="J776" s="10"/>
    </row>
    <row r="777">
      <c r="B777" s="8"/>
      <c r="F777" s="9"/>
      <c r="G777" s="8"/>
      <c r="J777" s="10"/>
    </row>
    <row r="778">
      <c r="B778" s="8"/>
      <c r="F778" s="9"/>
      <c r="G778" s="8"/>
      <c r="J778" s="10"/>
    </row>
    <row r="779">
      <c r="B779" s="8"/>
      <c r="F779" s="9"/>
      <c r="G779" s="8"/>
      <c r="J779" s="10"/>
    </row>
    <row r="780">
      <c r="B780" s="8"/>
      <c r="F780" s="9"/>
      <c r="G780" s="8"/>
      <c r="J780" s="10"/>
    </row>
    <row r="781">
      <c r="B781" s="8"/>
      <c r="F781" s="9"/>
      <c r="G781" s="8"/>
      <c r="J781" s="10"/>
    </row>
    <row r="782">
      <c r="B782" s="8"/>
      <c r="F782" s="9"/>
      <c r="G782" s="8"/>
      <c r="J782" s="10"/>
    </row>
    <row r="783">
      <c r="B783" s="8"/>
      <c r="F783" s="9"/>
      <c r="G783" s="8"/>
      <c r="J783" s="10"/>
    </row>
    <row r="784">
      <c r="B784" s="8"/>
      <c r="F784" s="9"/>
      <c r="G784" s="8"/>
      <c r="J784" s="10"/>
    </row>
    <row r="785">
      <c r="B785" s="8"/>
      <c r="F785" s="9"/>
      <c r="G785" s="8"/>
      <c r="J785" s="10"/>
    </row>
    <row r="786">
      <c r="B786" s="8"/>
      <c r="F786" s="9"/>
      <c r="G786" s="8"/>
      <c r="J786" s="10"/>
    </row>
    <row r="787">
      <c r="B787" s="8"/>
      <c r="F787" s="9"/>
      <c r="G787" s="8"/>
      <c r="J787" s="10"/>
    </row>
    <row r="788">
      <c r="B788" s="8"/>
      <c r="F788" s="9"/>
      <c r="G788" s="8"/>
      <c r="J788" s="10"/>
    </row>
    <row r="789">
      <c r="B789" s="8"/>
      <c r="F789" s="9"/>
      <c r="G789" s="8"/>
      <c r="J789" s="10"/>
    </row>
    <row r="790">
      <c r="B790" s="8"/>
      <c r="F790" s="9"/>
      <c r="G790" s="8"/>
      <c r="J790" s="10"/>
    </row>
    <row r="791">
      <c r="B791" s="8"/>
      <c r="F791" s="9"/>
      <c r="G791" s="8"/>
      <c r="J791" s="10"/>
    </row>
    <row r="792">
      <c r="B792" s="8"/>
      <c r="F792" s="9"/>
      <c r="G792" s="8"/>
      <c r="J792" s="10"/>
    </row>
    <row r="793">
      <c r="B793" s="8"/>
      <c r="F793" s="9"/>
      <c r="G793" s="8"/>
      <c r="J793" s="10"/>
    </row>
    <row r="794">
      <c r="B794" s="8"/>
      <c r="F794" s="9"/>
      <c r="G794" s="8"/>
      <c r="J794" s="10"/>
    </row>
    <row r="795">
      <c r="B795" s="8"/>
      <c r="F795" s="9"/>
      <c r="G795" s="8"/>
      <c r="J795" s="10"/>
    </row>
    <row r="796">
      <c r="B796" s="8"/>
      <c r="F796" s="9"/>
      <c r="G796" s="8"/>
      <c r="J796" s="10"/>
    </row>
    <row r="797">
      <c r="B797" s="8"/>
      <c r="F797" s="9"/>
      <c r="G797" s="8"/>
      <c r="J797" s="10"/>
    </row>
    <row r="798">
      <c r="B798" s="8"/>
      <c r="F798" s="9"/>
      <c r="G798" s="8"/>
      <c r="J798" s="10"/>
    </row>
    <row r="799">
      <c r="B799" s="8"/>
      <c r="F799" s="9"/>
      <c r="G799" s="8"/>
      <c r="J799" s="10"/>
    </row>
    <row r="800">
      <c r="B800" s="8"/>
      <c r="F800" s="9"/>
      <c r="G800" s="8"/>
      <c r="J800" s="10"/>
    </row>
    <row r="801">
      <c r="B801" s="8"/>
      <c r="F801" s="9"/>
      <c r="G801" s="8"/>
      <c r="J801" s="10"/>
    </row>
    <row r="802">
      <c r="B802" s="8"/>
      <c r="F802" s="9"/>
      <c r="G802" s="8"/>
      <c r="J802" s="10"/>
    </row>
    <row r="803">
      <c r="B803" s="8"/>
      <c r="F803" s="9"/>
      <c r="G803" s="8"/>
      <c r="J803" s="10"/>
    </row>
    <row r="804">
      <c r="B804" s="8"/>
      <c r="F804" s="9"/>
      <c r="G804" s="8"/>
      <c r="J804" s="10"/>
    </row>
    <row r="805">
      <c r="B805" s="8"/>
      <c r="F805" s="9"/>
      <c r="G805" s="8"/>
      <c r="J805" s="10"/>
    </row>
    <row r="806">
      <c r="B806" s="8"/>
      <c r="F806" s="9"/>
      <c r="G806" s="8"/>
      <c r="J806" s="10"/>
    </row>
    <row r="807">
      <c r="B807" s="8"/>
      <c r="F807" s="9"/>
      <c r="G807" s="8"/>
      <c r="J807" s="10"/>
    </row>
    <row r="808">
      <c r="B808" s="8"/>
      <c r="F808" s="9"/>
      <c r="G808" s="8"/>
      <c r="J808" s="10"/>
    </row>
    <row r="809">
      <c r="B809" s="8"/>
      <c r="F809" s="9"/>
      <c r="G809" s="8"/>
      <c r="J809" s="10"/>
    </row>
    <row r="810">
      <c r="B810" s="8"/>
      <c r="F810" s="9"/>
      <c r="G810" s="8"/>
      <c r="J810" s="10"/>
    </row>
    <row r="811">
      <c r="B811" s="8"/>
      <c r="F811" s="9"/>
      <c r="G811" s="8"/>
      <c r="J811" s="10"/>
    </row>
    <row r="812">
      <c r="B812" s="8"/>
      <c r="F812" s="9"/>
      <c r="G812" s="8"/>
      <c r="J812" s="10"/>
    </row>
    <row r="813">
      <c r="B813" s="8"/>
      <c r="F813" s="9"/>
      <c r="G813" s="8"/>
      <c r="J813" s="10"/>
    </row>
    <row r="814">
      <c r="B814" s="8"/>
      <c r="F814" s="9"/>
      <c r="G814" s="8"/>
      <c r="J814" s="10"/>
    </row>
    <row r="815">
      <c r="B815" s="8"/>
      <c r="F815" s="9"/>
      <c r="G815" s="8"/>
      <c r="J815" s="10"/>
    </row>
    <row r="816">
      <c r="B816" s="8"/>
      <c r="F816" s="9"/>
      <c r="G816" s="8"/>
      <c r="J816" s="10"/>
    </row>
    <row r="817">
      <c r="B817" s="8"/>
      <c r="F817" s="9"/>
      <c r="G817" s="8"/>
      <c r="J817" s="10"/>
    </row>
    <row r="818">
      <c r="B818" s="8"/>
      <c r="F818" s="9"/>
      <c r="G818" s="8"/>
      <c r="J818" s="10"/>
    </row>
    <row r="819">
      <c r="B819" s="8"/>
      <c r="F819" s="9"/>
      <c r="G819" s="8"/>
      <c r="J819" s="10"/>
    </row>
    <row r="820">
      <c r="B820" s="8"/>
      <c r="F820" s="9"/>
      <c r="G820" s="8"/>
      <c r="J820" s="10"/>
    </row>
    <row r="821">
      <c r="B821" s="8"/>
      <c r="F821" s="9"/>
      <c r="G821" s="8"/>
      <c r="J821" s="10"/>
    </row>
    <row r="822">
      <c r="B822" s="8"/>
      <c r="F822" s="9"/>
      <c r="G822" s="8"/>
      <c r="J822" s="10"/>
    </row>
    <row r="823">
      <c r="B823" s="8"/>
      <c r="F823" s="9"/>
      <c r="G823" s="8"/>
      <c r="J823" s="10"/>
    </row>
    <row r="824">
      <c r="B824" s="8"/>
      <c r="F824" s="9"/>
      <c r="G824" s="8"/>
      <c r="J824" s="10"/>
    </row>
    <row r="825">
      <c r="B825" s="8"/>
      <c r="F825" s="9"/>
      <c r="G825" s="8"/>
      <c r="J825" s="10"/>
    </row>
    <row r="826">
      <c r="B826" s="8"/>
      <c r="F826" s="9"/>
      <c r="G826" s="8"/>
      <c r="J826" s="10"/>
    </row>
    <row r="827">
      <c r="B827" s="8"/>
      <c r="F827" s="9"/>
      <c r="G827" s="8"/>
      <c r="J827" s="10"/>
    </row>
    <row r="828">
      <c r="B828" s="8"/>
      <c r="F828" s="9"/>
      <c r="G828" s="8"/>
      <c r="J828" s="10"/>
    </row>
    <row r="829">
      <c r="B829" s="8"/>
      <c r="F829" s="9"/>
      <c r="G829" s="8"/>
      <c r="J829" s="10"/>
    </row>
    <row r="830">
      <c r="B830" s="8"/>
      <c r="F830" s="9"/>
      <c r="G830" s="8"/>
      <c r="J830" s="10"/>
    </row>
    <row r="831">
      <c r="B831" s="8"/>
      <c r="F831" s="9"/>
      <c r="G831" s="8"/>
      <c r="J831" s="10"/>
    </row>
    <row r="832">
      <c r="B832" s="8"/>
      <c r="F832" s="9"/>
      <c r="G832" s="8"/>
      <c r="J832" s="10"/>
    </row>
    <row r="833">
      <c r="B833" s="8"/>
      <c r="F833" s="9"/>
      <c r="G833" s="8"/>
      <c r="J833" s="10"/>
    </row>
    <row r="834">
      <c r="B834" s="8"/>
      <c r="F834" s="9"/>
      <c r="G834" s="8"/>
      <c r="J834" s="10"/>
    </row>
    <row r="835">
      <c r="B835" s="8"/>
      <c r="F835" s="9"/>
      <c r="G835" s="8"/>
      <c r="J835" s="10"/>
    </row>
    <row r="836">
      <c r="B836" s="8"/>
      <c r="F836" s="9"/>
      <c r="G836" s="8"/>
      <c r="J836" s="10"/>
    </row>
    <row r="837">
      <c r="B837" s="8"/>
      <c r="F837" s="9"/>
      <c r="G837" s="8"/>
      <c r="J837" s="10"/>
    </row>
    <row r="838">
      <c r="B838" s="8"/>
      <c r="F838" s="9"/>
      <c r="G838" s="8"/>
      <c r="J838" s="10"/>
    </row>
    <row r="839">
      <c r="B839" s="8"/>
      <c r="F839" s="9"/>
      <c r="G839" s="8"/>
      <c r="J839" s="10"/>
    </row>
    <row r="840">
      <c r="B840" s="8"/>
      <c r="F840" s="9"/>
      <c r="G840" s="8"/>
      <c r="J840" s="10"/>
    </row>
    <row r="841">
      <c r="B841" s="8"/>
      <c r="F841" s="9"/>
      <c r="G841" s="8"/>
      <c r="J841" s="10"/>
    </row>
    <row r="842">
      <c r="B842" s="8"/>
      <c r="F842" s="9"/>
      <c r="G842" s="8"/>
      <c r="J842" s="10"/>
    </row>
    <row r="843">
      <c r="B843" s="8"/>
      <c r="F843" s="9"/>
      <c r="G843" s="8"/>
      <c r="J843" s="10"/>
    </row>
    <row r="844">
      <c r="B844" s="8"/>
      <c r="F844" s="9"/>
      <c r="G844" s="8"/>
      <c r="J844" s="10"/>
    </row>
    <row r="845">
      <c r="B845" s="8"/>
      <c r="F845" s="9"/>
      <c r="G845" s="8"/>
      <c r="J845" s="10"/>
    </row>
    <row r="846">
      <c r="B846" s="8"/>
      <c r="F846" s="9"/>
      <c r="G846" s="8"/>
      <c r="J846" s="10"/>
    </row>
    <row r="847">
      <c r="B847" s="8"/>
      <c r="F847" s="9"/>
      <c r="G847" s="8"/>
      <c r="J847" s="10"/>
    </row>
    <row r="848">
      <c r="B848" s="8"/>
      <c r="F848" s="9"/>
      <c r="G848" s="8"/>
      <c r="J848" s="10"/>
    </row>
    <row r="849">
      <c r="B849" s="8"/>
      <c r="F849" s="9"/>
      <c r="G849" s="8"/>
      <c r="J849" s="10"/>
    </row>
    <row r="850">
      <c r="B850" s="8"/>
      <c r="F850" s="9"/>
      <c r="G850" s="8"/>
      <c r="J850" s="10"/>
    </row>
    <row r="851">
      <c r="B851" s="8"/>
      <c r="F851" s="9"/>
      <c r="G851" s="8"/>
      <c r="J851" s="10"/>
    </row>
    <row r="852">
      <c r="B852" s="8"/>
      <c r="F852" s="9"/>
      <c r="G852" s="8"/>
      <c r="J852" s="10"/>
    </row>
    <row r="853">
      <c r="B853" s="8"/>
      <c r="F853" s="9"/>
      <c r="G853" s="8"/>
      <c r="J853" s="10"/>
    </row>
    <row r="854">
      <c r="B854" s="8"/>
      <c r="F854" s="9"/>
      <c r="G854" s="8"/>
      <c r="J854" s="10"/>
    </row>
    <row r="855">
      <c r="B855" s="8"/>
      <c r="F855" s="9"/>
      <c r="G855" s="8"/>
      <c r="J855" s="10"/>
    </row>
    <row r="856">
      <c r="B856" s="8"/>
      <c r="F856" s="9"/>
      <c r="G856" s="8"/>
      <c r="J856" s="10"/>
    </row>
    <row r="857">
      <c r="B857" s="8"/>
      <c r="F857" s="9"/>
      <c r="G857" s="8"/>
      <c r="J857" s="10"/>
    </row>
    <row r="858">
      <c r="B858" s="8"/>
      <c r="F858" s="9"/>
      <c r="G858" s="8"/>
      <c r="J858" s="10"/>
    </row>
    <row r="859">
      <c r="B859" s="8"/>
      <c r="F859" s="9"/>
      <c r="G859" s="8"/>
      <c r="J859" s="10"/>
    </row>
    <row r="860">
      <c r="B860" s="8"/>
      <c r="F860" s="9"/>
      <c r="G860" s="8"/>
      <c r="J860" s="10"/>
    </row>
    <row r="861">
      <c r="B861" s="8"/>
      <c r="F861" s="9"/>
      <c r="G861" s="8"/>
      <c r="J861" s="10"/>
    </row>
    <row r="862">
      <c r="B862" s="8"/>
      <c r="F862" s="9"/>
      <c r="G862" s="8"/>
      <c r="J862" s="10"/>
    </row>
    <row r="863">
      <c r="B863" s="8"/>
      <c r="F863" s="9"/>
      <c r="G863" s="8"/>
      <c r="J863" s="10"/>
    </row>
    <row r="864">
      <c r="B864" s="8"/>
      <c r="F864" s="9"/>
      <c r="G864" s="8"/>
      <c r="J864" s="10"/>
    </row>
    <row r="865">
      <c r="B865" s="8"/>
      <c r="F865" s="9"/>
      <c r="G865" s="8"/>
      <c r="J865" s="10"/>
    </row>
    <row r="866">
      <c r="B866" s="8"/>
      <c r="F866" s="9"/>
      <c r="G866" s="8"/>
      <c r="J866" s="10"/>
    </row>
    <row r="867">
      <c r="B867" s="8"/>
      <c r="F867" s="9"/>
      <c r="G867" s="8"/>
      <c r="J867" s="10"/>
    </row>
    <row r="868">
      <c r="B868" s="8"/>
      <c r="F868" s="9"/>
      <c r="G868" s="8"/>
      <c r="J868" s="10"/>
    </row>
    <row r="869">
      <c r="B869" s="8"/>
      <c r="F869" s="9"/>
      <c r="G869" s="8"/>
      <c r="J869" s="10"/>
    </row>
    <row r="870">
      <c r="B870" s="8"/>
      <c r="F870" s="9"/>
      <c r="G870" s="8"/>
      <c r="J870" s="10"/>
    </row>
    <row r="871">
      <c r="B871" s="8"/>
      <c r="F871" s="9"/>
      <c r="G871" s="8"/>
      <c r="J871" s="10"/>
    </row>
    <row r="872">
      <c r="B872" s="8"/>
      <c r="F872" s="9"/>
      <c r="G872" s="8"/>
      <c r="J872" s="10"/>
    </row>
    <row r="873">
      <c r="B873" s="8"/>
      <c r="F873" s="9"/>
      <c r="G873" s="8"/>
      <c r="J873" s="10"/>
    </row>
    <row r="874">
      <c r="B874" s="8"/>
      <c r="F874" s="9"/>
      <c r="G874" s="8"/>
      <c r="J874" s="10"/>
    </row>
    <row r="875">
      <c r="B875" s="8"/>
      <c r="F875" s="9"/>
      <c r="G875" s="8"/>
      <c r="J875" s="10"/>
    </row>
    <row r="876">
      <c r="B876" s="8"/>
      <c r="F876" s="9"/>
      <c r="G876" s="8"/>
      <c r="J876" s="10"/>
    </row>
    <row r="877">
      <c r="B877" s="8"/>
      <c r="F877" s="9"/>
      <c r="G877" s="8"/>
      <c r="J877" s="10"/>
    </row>
    <row r="878">
      <c r="B878" s="8"/>
      <c r="F878" s="9"/>
      <c r="G878" s="8"/>
      <c r="J878" s="10"/>
    </row>
    <row r="879">
      <c r="B879" s="8"/>
      <c r="F879" s="9"/>
      <c r="G879" s="8"/>
      <c r="J879" s="10"/>
    </row>
    <row r="880">
      <c r="B880" s="8"/>
      <c r="F880" s="9"/>
      <c r="G880" s="8"/>
      <c r="J880" s="10"/>
    </row>
    <row r="881">
      <c r="B881" s="8"/>
      <c r="F881" s="9"/>
      <c r="G881" s="8"/>
      <c r="J881" s="10"/>
    </row>
    <row r="882">
      <c r="B882" s="8"/>
      <c r="F882" s="9"/>
      <c r="G882" s="8"/>
      <c r="J882" s="10"/>
    </row>
    <row r="883">
      <c r="B883" s="8"/>
      <c r="F883" s="9"/>
      <c r="G883" s="8"/>
      <c r="J883" s="10"/>
    </row>
    <row r="884">
      <c r="B884" s="8"/>
      <c r="F884" s="9"/>
      <c r="G884" s="8"/>
      <c r="J884" s="10"/>
    </row>
    <row r="885">
      <c r="B885" s="8"/>
      <c r="F885" s="9"/>
      <c r="G885" s="8"/>
      <c r="J885" s="10"/>
    </row>
    <row r="886">
      <c r="B886" s="8"/>
      <c r="F886" s="9"/>
      <c r="G886" s="8"/>
      <c r="J886" s="10"/>
    </row>
    <row r="887">
      <c r="B887" s="8"/>
      <c r="F887" s="9"/>
      <c r="G887" s="8"/>
      <c r="J887" s="10"/>
    </row>
    <row r="888">
      <c r="B888" s="8"/>
      <c r="F888" s="9"/>
      <c r="G888" s="8"/>
      <c r="J888" s="10"/>
    </row>
    <row r="889">
      <c r="B889" s="8"/>
      <c r="F889" s="9"/>
      <c r="G889" s="8"/>
      <c r="J889" s="10"/>
    </row>
    <row r="890">
      <c r="B890" s="8"/>
      <c r="F890" s="9"/>
      <c r="G890" s="8"/>
      <c r="J890" s="10"/>
    </row>
    <row r="891">
      <c r="B891" s="8"/>
      <c r="F891" s="9"/>
      <c r="G891" s="8"/>
      <c r="J891" s="10"/>
    </row>
    <row r="892">
      <c r="B892" s="8"/>
      <c r="F892" s="9"/>
      <c r="G892" s="8"/>
      <c r="J892" s="10"/>
    </row>
    <row r="893">
      <c r="B893" s="8"/>
      <c r="F893" s="9"/>
      <c r="G893" s="8"/>
      <c r="J893" s="10"/>
    </row>
    <row r="894">
      <c r="B894" s="8"/>
      <c r="F894" s="9"/>
      <c r="G894" s="8"/>
      <c r="J894" s="10"/>
    </row>
    <row r="895">
      <c r="B895" s="8"/>
      <c r="F895" s="9"/>
      <c r="G895" s="8"/>
      <c r="J895" s="10"/>
    </row>
    <row r="896">
      <c r="B896" s="8"/>
      <c r="F896" s="9"/>
      <c r="G896" s="8"/>
      <c r="J896" s="10"/>
    </row>
    <row r="897">
      <c r="B897" s="8"/>
      <c r="F897" s="9"/>
      <c r="G897" s="8"/>
      <c r="J897" s="10"/>
    </row>
    <row r="898">
      <c r="B898" s="8"/>
      <c r="F898" s="9"/>
      <c r="G898" s="8"/>
      <c r="J898" s="10"/>
    </row>
    <row r="899">
      <c r="B899" s="8"/>
      <c r="F899" s="9"/>
      <c r="G899" s="8"/>
      <c r="J899" s="10"/>
    </row>
    <row r="900">
      <c r="B900" s="8"/>
      <c r="F900" s="9"/>
      <c r="G900" s="8"/>
      <c r="J900" s="10"/>
    </row>
    <row r="901">
      <c r="B901" s="8"/>
      <c r="F901" s="9"/>
      <c r="G901" s="8"/>
      <c r="J901" s="10"/>
    </row>
    <row r="902">
      <c r="B902" s="8"/>
      <c r="F902" s="9"/>
      <c r="G902" s="8"/>
      <c r="J902" s="10"/>
    </row>
    <row r="903">
      <c r="B903" s="8"/>
      <c r="F903" s="9"/>
      <c r="G903" s="8"/>
      <c r="J903" s="10"/>
    </row>
    <row r="904">
      <c r="B904" s="8"/>
      <c r="F904" s="9"/>
      <c r="G904" s="8"/>
      <c r="J904" s="10"/>
    </row>
    <row r="905">
      <c r="B905" s="8"/>
      <c r="F905" s="9"/>
      <c r="G905" s="8"/>
      <c r="J905" s="10"/>
    </row>
    <row r="906">
      <c r="B906" s="8"/>
      <c r="F906" s="9"/>
      <c r="G906" s="8"/>
      <c r="J906" s="10"/>
    </row>
    <row r="907">
      <c r="B907" s="8"/>
      <c r="F907" s="9"/>
      <c r="G907" s="8"/>
      <c r="J907" s="10"/>
    </row>
    <row r="908">
      <c r="B908" s="8"/>
      <c r="F908" s="9"/>
      <c r="G908" s="8"/>
      <c r="J908" s="10"/>
    </row>
    <row r="909">
      <c r="B909" s="8"/>
      <c r="F909" s="9"/>
      <c r="G909" s="8"/>
      <c r="J909" s="10"/>
    </row>
    <row r="910">
      <c r="B910" s="8"/>
      <c r="F910" s="9"/>
      <c r="G910" s="8"/>
      <c r="J910" s="10"/>
    </row>
    <row r="911">
      <c r="B911" s="8"/>
      <c r="F911" s="9"/>
      <c r="G911" s="8"/>
      <c r="J911" s="10"/>
    </row>
    <row r="912">
      <c r="B912" s="8"/>
      <c r="F912" s="9"/>
      <c r="G912" s="8"/>
      <c r="J912" s="10"/>
    </row>
    <row r="913">
      <c r="B913" s="8"/>
      <c r="F913" s="9"/>
      <c r="G913" s="8"/>
      <c r="J913" s="10"/>
    </row>
    <row r="914">
      <c r="B914" s="8"/>
      <c r="F914" s="9"/>
      <c r="G914" s="8"/>
      <c r="J914" s="10"/>
    </row>
    <row r="915">
      <c r="B915" s="8"/>
      <c r="F915" s="9"/>
      <c r="G915" s="8"/>
      <c r="J915" s="10"/>
    </row>
    <row r="916">
      <c r="B916" s="8"/>
      <c r="F916" s="9"/>
      <c r="G916" s="8"/>
      <c r="J916" s="10"/>
    </row>
    <row r="917">
      <c r="B917" s="8"/>
      <c r="F917" s="9"/>
      <c r="G917" s="8"/>
      <c r="J917" s="10"/>
    </row>
    <row r="918">
      <c r="B918" s="8"/>
      <c r="F918" s="9"/>
      <c r="G918" s="8"/>
      <c r="J918" s="10"/>
    </row>
    <row r="919">
      <c r="B919" s="8"/>
      <c r="F919" s="9"/>
      <c r="G919" s="8"/>
      <c r="J919" s="10"/>
    </row>
    <row r="920">
      <c r="B920" s="8"/>
      <c r="F920" s="9"/>
      <c r="G920" s="8"/>
      <c r="J920" s="10"/>
    </row>
    <row r="921">
      <c r="B921" s="8"/>
      <c r="F921" s="9"/>
      <c r="G921" s="8"/>
      <c r="J921" s="10"/>
    </row>
    <row r="922">
      <c r="B922" s="8"/>
      <c r="F922" s="9"/>
      <c r="G922" s="8"/>
      <c r="J922" s="10"/>
    </row>
    <row r="923">
      <c r="B923" s="8"/>
      <c r="F923" s="9"/>
      <c r="G923" s="8"/>
      <c r="J923" s="10"/>
    </row>
    <row r="924">
      <c r="B924" s="8"/>
      <c r="F924" s="9"/>
      <c r="G924" s="8"/>
      <c r="J924" s="10"/>
    </row>
    <row r="925">
      <c r="B925" s="8"/>
      <c r="F925" s="9"/>
      <c r="G925" s="8"/>
      <c r="J925" s="10"/>
    </row>
    <row r="926">
      <c r="B926" s="8"/>
      <c r="F926" s="9"/>
      <c r="G926" s="8"/>
      <c r="J926" s="10"/>
    </row>
    <row r="927">
      <c r="B927" s="8"/>
      <c r="F927" s="9"/>
      <c r="G927" s="8"/>
      <c r="J927" s="10"/>
    </row>
    <row r="928">
      <c r="B928" s="8"/>
      <c r="F928" s="9"/>
      <c r="G928" s="8"/>
      <c r="J928" s="10"/>
    </row>
    <row r="929">
      <c r="B929" s="8"/>
      <c r="F929" s="9"/>
      <c r="G929" s="8"/>
      <c r="J929" s="10"/>
    </row>
    <row r="930">
      <c r="B930" s="8"/>
      <c r="F930" s="9"/>
      <c r="G930" s="8"/>
      <c r="J930" s="10"/>
    </row>
    <row r="931">
      <c r="B931" s="8"/>
      <c r="F931" s="9"/>
      <c r="G931" s="8"/>
      <c r="J931" s="10"/>
    </row>
    <row r="932">
      <c r="B932" s="8"/>
      <c r="F932" s="9"/>
      <c r="G932" s="8"/>
      <c r="J932" s="10"/>
    </row>
    <row r="933">
      <c r="B933" s="8"/>
      <c r="F933" s="9"/>
      <c r="G933" s="8"/>
      <c r="J933" s="10"/>
    </row>
    <row r="934">
      <c r="B934" s="8"/>
      <c r="F934" s="9"/>
      <c r="G934" s="8"/>
      <c r="J934" s="10"/>
    </row>
    <row r="935">
      <c r="B935" s="8"/>
      <c r="F935" s="9"/>
      <c r="G935" s="8"/>
      <c r="J935" s="10"/>
    </row>
    <row r="936">
      <c r="B936" s="8"/>
      <c r="F936" s="9"/>
      <c r="G936" s="8"/>
      <c r="J936" s="10"/>
    </row>
    <row r="937">
      <c r="B937" s="8"/>
      <c r="F937" s="9"/>
      <c r="G937" s="8"/>
      <c r="J937" s="10"/>
    </row>
    <row r="938">
      <c r="B938" s="8"/>
      <c r="F938" s="9"/>
      <c r="G938" s="8"/>
      <c r="J938" s="10"/>
    </row>
    <row r="939">
      <c r="B939" s="8"/>
      <c r="F939" s="9"/>
      <c r="G939" s="8"/>
      <c r="J939" s="10"/>
    </row>
    <row r="940">
      <c r="B940" s="8"/>
      <c r="F940" s="9"/>
      <c r="G940" s="8"/>
      <c r="J940" s="10"/>
    </row>
    <row r="941">
      <c r="B941" s="8"/>
      <c r="F941" s="9"/>
      <c r="G941" s="8"/>
      <c r="J941" s="10"/>
    </row>
    <row r="942">
      <c r="B942" s="8"/>
      <c r="F942" s="9"/>
      <c r="G942" s="8"/>
      <c r="J942" s="10"/>
    </row>
    <row r="943">
      <c r="B943" s="8"/>
      <c r="F943" s="9"/>
      <c r="G943" s="8"/>
      <c r="J943" s="10"/>
    </row>
    <row r="944">
      <c r="B944" s="8"/>
      <c r="F944" s="9"/>
      <c r="G944" s="8"/>
      <c r="J944" s="10"/>
    </row>
    <row r="945">
      <c r="B945" s="8"/>
      <c r="F945" s="9"/>
      <c r="G945" s="8"/>
      <c r="J945" s="10"/>
    </row>
    <row r="946">
      <c r="B946" s="8"/>
      <c r="F946" s="9"/>
      <c r="G946" s="8"/>
      <c r="J946" s="10"/>
    </row>
    <row r="947">
      <c r="B947" s="8"/>
      <c r="F947" s="9"/>
      <c r="G947" s="8"/>
      <c r="J947" s="10"/>
    </row>
    <row r="948">
      <c r="B948" s="8"/>
      <c r="F948" s="9"/>
      <c r="G948" s="8"/>
      <c r="J948" s="10"/>
    </row>
    <row r="949">
      <c r="B949" s="8"/>
      <c r="F949" s="9"/>
      <c r="G949" s="8"/>
      <c r="J949" s="10"/>
    </row>
    <row r="950">
      <c r="B950" s="8"/>
      <c r="F950" s="9"/>
      <c r="G950" s="8"/>
      <c r="J950" s="10"/>
    </row>
    <row r="951">
      <c r="B951" s="8"/>
      <c r="F951" s="9"/>
      <c r="G951" s="8"/>
      <c r="J951" s="10"/>
    </row>
    <row r="952">
      <c r="B952" s="8"/>
      <c r="F952" s="9"/>
      <c r="G952" s="8"/>
      <c r="J952" s="10"/>
    </row>
    <row r="953">
      <c r="B953" s="8"/>
      <c r="F953" s="9"/>
      <c r="G953" s="8"/>
      <c r="J953" s="10"/>
    </row>
    <row r="954">
      <c r="B954" s="8"/>
      <c r="F954" s="9"/>
      <c r="G954" s="8"/>
      <c r="J954" s="10"/>
    </row>
    <row r="955">
      <c r="B955" s="8"/>
      <c r="F955" s="9"/>
      <c r="G955" s="8"/>
      <c r="J955" s="10"/>
    </row>
    <row r="956">
      <c r="B956" s="8"/>
      <c r="F956" s="9"/>
      <c r="G956" s="8"/>
      <c r="J956" s="10"/>
    </row>
    <row r="957">
      <c r="B957" s="8"/>
      <c r="F957" s="9"/>
      <c r="G957" s="8"/>
      <c r="J957" s="10"/>
    </row>
    <row r="958">
      <c r="B958" s="8"/>
      <c r="F958" s="9"/>
      <c r="G958" s="8"/>
      <c r="J958" s="10"/>
    </row>
    <row r="959">
      <c r="B959" s="8"/>
      <c r="F959" s="9"/>
      <c r="G959" s="8"/>
      <c r="J959" s="10"/>
    </row>
    <row r="960">
      <c r="B960" s="8"/>
      <c r="F960" s="9"/>
      <c r="G960" s="8"/>
      <c r="J960" s="10"/>
    </row>
    <row r="961">
      <c r="B961" s="8"/>
      <c r="F961" s="9"/>
      <c r="G961" s="8"/>
      <c r="J961" s="10"/>
    </row>
    <row r="962">
      <c r="B962" s="8"/>
      <c r="F962" s="9"/>
      <c r="G962" s="8"/>
      <c r="J962" s="10"/>
    </row>
    <row r="963">
      <c r="B963" s="8"/>
      <c r="F963" s="9"/>
      <c r="G963" s="8"/>
      <c r="J963" s="10"/>
    </row>
    <row r="964">
      <c r="B964" s="8"/>
      <c r="F964" s="9"/>
      <c r="G964" s="8"/>
      <c r="J964" s="10"/>
    </row>
    <row r="965">
      <c r="B965" s="8"/>
      <c r="F965" s="9"/>
      <c r="G965" s="8"/>
      <c r="J965" s="10"/>
    </row>
    <row r="966">
      <c r="B966" s="8"/>
      <c r="F966" s="9"/>
      <c r="G966" s="8"/>
      <c r="J966" s="10"/>
    </row>
    <row r="967">
      <c r="B967" s="8"/>
      <c r="F967" s="9"/>
      <c r="G967" s="8"/>
      <c r="J967" s="10"/>
    </row>
    <row r="968">
      <c r="B968" s="8"/>
      <c r="F968" s="9"/>
      <c r="G968" s="8"/>
      <c r="J968" s="10"/>
    </row>
    <row r="969">
      <c r="B969" s="8"/>
      <c r="F969" s="9"/>
      <c r="G969" s="8"/>
      <c r="J969" s="10"/>
    </row>
    <row r="970">
      <c r="B970" s="8"/>
      <c r="F970" s="9"/>
      <c r="G970" s="8"/>
      <c r="J970" s="10"/>
    </row>
    <row r="971">
      <c r="B971" s="8"/>
      <c r="F971" s="9"/>
      <c r="G971" s="8"/>
      <c r="J971" s="10"/>
    </row>
    <row r="972">
      <c r="B972" s="8"/>
      <c r="F972" s="9"/>
      <c r="G972" s="8"/>
      <c r="J972" s="10"/>
    </row>
    <row r="973">
      <c r="B973" s="8"/>
      <c r="F973" s="9"/>
      <c r="G973" s="8"/>
      <c r="J973" s="10"/>
    </row>
    <row r="974">
      <c r="B974" s="8"/>
      <c r="F974" s="9"/>
      <c r="G974" s="8"/>
      <c r="J974" s="10"/>
    </row>
    <row r="975">
      <c r="B975" s="8"/>
      <c r="F975" s="9"/>
      <c r="G975" s="8"/>
      <c r="J975" s="10"/>
    </row>
    <row r="976">
      <c r="B976" s="8"/>
      <c r="F976" s="9"/>
      <c r="G976" s="8"/>
      <c r="J976" s="10"/>
    </row>
    <row r="977">
      <c r="B977" s="8"/>
      <c r="F977" s="9"/>
      <c r="G977" s="8"/>
      <c r="J977" s="10"/>
    </row>
    <row r="978">
      <c r="B978" s="8"/>
      <c r="F978" s="9"/>
      <c r="G978" s="8"/>
      <c r="J978" s="10"/>
    </row>
    <row r="979">
      <c r="B979" s="8"/>
      <c r="F979" s="9"/>
      <c r="G979" s="8"/>
      <c r="J979" s="10"/>
    </row>
    <row r="980">
      <c r="B980" s="8"/>
      <c r="F980" s="9"/>
      <c r="G980" s="8"/>
      <c r="J980" s="10"/>
    </row>
    <row r="981">
      <c r="B981" s="8"/>
      <c r="F981" s="9"/>
      <c r="G981" s="8"/>
      <c r="J981" s="10"/>
    </row>
    <row r="982">
      <c r="B982" s="8"/>
      <c r="F982" s="9"/>
      <c r="G982" s="8"/>
      <c r="J982" s="10"/>
    </row>
    <row r="983">
      <c r="B983" s="8"/>
      <c r="F983" s="9"/>
      <c r="G983" s="8"/>
      <c r="J983" s="10"/>
    </row>
    <row r="984">
      <c r="B984" s="8"/>
      <c r="F984" s="9"/>
      <c r="G984" s="8"/>
      <c r="J984" s="10"/>
    </row>
    <row r="985">
      <c r="B985" s="8"/>
      <c r="F985" s="9"/>
      <c r="G985" s="8"/>
      <c r="J985" s="10"/>
    </row>
    <row r="986">
      <c r="B986" s="8"/>
      <c r="F986" s="9"/>
      <c r="G986" s="8"/>
      <c r="J986" s="10"/>
    </row>
    <row r="987">
      <c r="B987" s="8"/>
      <c r="F987" s="9"/>
      <c r="G987" s="8"/>
      <c r="J987" s="10"/>
    </row>
    <row r="988">
      <c r="B988" s="8"/>
      <c r="F988" s="9"/>
      <c r="G988" s="8"/>
      <c r="J988" s="10"/>
    </row>
    <row r="989">
      <c r="B989" s="8"/>
      <c r="F989" s="9"/>
      <c r="G989" s="8"/>
      <c r="J989" s="10"/>
    </row>
    <row r="990">
      <c r="B990" s="8"/>
      <c r="F990" s="9"/>
      <c r="G990" s="8"/>
      <c r="J990" s="10"/>
    </row>
    <row r="991">
      <c r="B991" s="8"/>
      <c r="F991" s="9"/>
      <c r="G991" s="8"/>
      <c r="J991" s="10"/>
    </row>
    <row r="992">
      <c r="B992" s="8"/>
      <c r="F992" s="9"/>
      <c r="G992" s="8"/>
      <c r="J992" s="10"/>
    </row>
    <row r="993">
      <c r="B993" s="8"/>
      <c r="F993" s="9"/>
      <c r="G993" s="8"/>
      <c r="J993" s="10"/>
    </row>
    <row r="994">
      <c r="B994" s="8"/>
      <c r="F994" s="9"/>
      <c r="G994" s="8"/>
      <c r="J994" s="10"/>
    </row>
    <row r="995">
      <c r="B995" s="8"/>
      <c r="F995" s="9"/>
      <c r="G995" s="8"/>
      <c r="J995" s="10"/>
    </row>
    <row r="996">
      <c r="B996" s="8"/>
      <c r="F996" s="9"/>
      <c r="G996" s="8"/>
      <c r="J996" s="10"/>
    </row>
    <row r="997">
      <c r="B997" s="8"/>
      <c r="F997" s="9"/>
      <c r="G997" s="8"/>
      <c r="J997" s="10"/>
    </row>
    <row r="998">
      <c r="B998" s="8"/>
      <c r="F998" s="9"/>
      <c r="G998" s="8"/>
      <c r="J998" s="10"/>
    </row>
    <row r="999">
      <c r="B999" s="8"/>
      <c r="F999" s="9"/>
      <c r="G999" s="8"/>
      <c r="J999" s="10"/>
    </row>
    <row r="1000">
      <c r="B1000" s="8"/>
      <c r="F1000" s="9"/>
      <c r="G1000" s="8"/>
      <c r="J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9" max="9" width="13.88"/>
    <col customWidth="1" min="10" max="10" width="15.75"/>
    <col customWidth="1" min="11" max="11" width="19.0"/>
    <col customWidth="1" min="12" max="12" width="14.63"/>
  </cols>
  <sheetData>
    <row r="1">
      <c r="A1" s="1" t="s">
        <v>0</v>
      </c>
      <c r="B1" s="3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1" t="s">
        <v>17</v>
      </c>
      <c r="J1" s="11" t="s">
        <v>18</v>
      </c>
      <c r="K1" s="1" t="s">
        <v>19</v>
      </c>
      <c r="L1" s="12" t="s">
        <v>20</v>
      </c>
    </row>
    <row r="2">
      <c r="A2" s="1" t="s">
        <v>11</v>
      </c>
      <c r="B2" s="13">
        <v>0.1</v>
      </c>
      <c r="C2" s="6">
        <v>1000.0</v>
      </c>
      <c r="D2" s="6">
        <v>50000.0</v>
      </c>
      <c r="E2" s="6">
        <v>2500.0</v>
      </c>
      <c r="F2" s="6">
        <v>350.0</v>
      </c>
      <c r="G2" s="6">
        <v>120.0</v>
      </c>
      <c r="H2" s="6">
        <v>6000.0</v>
      </c>
      <c r="I2" s="14">
        <f t="shared" ref="I2:I6" si="1">C2/F2</f>
        <v>2.857142857</v>
      </c>
      <c r="J2" s="14">
        <f t="shared" ref="J2:J6" si="2">C2/G2</f>
        <v>8.333333333</v>
      </c>
      <c r="K2" s="15">
        <f t="shared" ref="K2:K6" si="3">H2/G2</f>
        <v>50</v>
      </c>
      <c r="L2" s="16">
        <f>(H2-C2-(H2*B2))/C2</f>
        <v>4.4</v>
      </c>
    </row>
    <row r="3">
      <c r="A3" s="1" t="s">
        <v>12</v>
      </c>
      <c r="B3" s="13">
        <v>0.15</v>
      </c>
      <c r="C3" s="6">
        <v>2000.0</v>
      </c>
      <c r="D3" s="6">
        <v>80000.0</v>
      </c>
      <c r="E3" s="6">
        <v>4500.0</v>
      </c>
      <c r="F3" s="6">
        <v>900.0</v>
      </c>
      <c r="G3" s="6">
        <v>400.0</v>
      </c>
      <c r="H3" s="6">
        <v>12000.0</v>
      </c>
      <c r="I3" s="14">
        <f t="shared" si="1"/>
        <v>2.222222222</v>
      </c>
      <c r="J3" s="14">
        <f t="shared" si="2"/>
        <v>5</v>
      </c>
      <c r="K3" s="15">
        <f t="shared" si="3"/>
        <v>30</v>
      </c>
      <c r="L3" s="7">
        <f t="shared" ref="L3:L6" si="4">(H3-C3-H3*B3)/C3</f>
        <v>4.1</v>
      </c>
    </row>
    <row r="4">
      <c r="A4" s="1" t="s">
        <v>13</v>
      </c>
      <c r="B4" s="13">
        <v>0.2</v>
      </c>
      <c r="C4" s="6">
        <v>5000.0</v>
      </c>
      <c r="D4" s="6">
        <v>200000.0</v>
      </c>
      <c r="E4" s="6">
        <v>12000.0</v>
      </c>
      <c r="F4" s="6">
        <v>1700.0</v>
      </c>
      <c r="G4" s="6">
        <v>1000.0</v>
      </c>
      <c r="H4" s="6">
        <v>25000.0</v>
      </c>
      <c r="I4" s="14">
        <f t="shared" si="1"/>
        <v>2.941176471</v>
      </c>
      <c r="J4" s="14">
        <f t="shared" si="2"/>
        <v>5</v>
      </c>
      <c r="K4" s="15">
        <f t="shared" si="3"/>
        <v>25</v>
      </c>
      <c r="L4" s="7">
        <f t="shared" si="4"/>
        <v>3</v>
      </c>
    </row>
    <row r="5">
      <c r="A5" s="1" t="s">
        <v>14</v>
      </c>
      <c r="B5" s="13">
        <v>0.1</v>
      </c>
      <c r="C5" s="6">
        <v>1500.0</v>
      </c>
      <c r="D5" s="6">
        <v>60000.0</v>
      </c>
      <c r="E5" s="6">
        <v>3500.0</v>
      </c>
      <c r="F5" s="6">
        <v>550.0</v>
      </c>
      <c r="G5" s="6">
        <v>250.0</v>
      </c>
      <c r="H5" s="6">
        <v>7500.0</v>
      </c>
      <c r="I5" s="14">
        <f t="shared" si="1"/>
        <v>2.727272727</v>
      </c>
      <c r="J5" s="14">
        <f t="shared" si="2"/>
        <v>6</v>
      </c>
      <c r="K5" s="15">
        <f t="shared" si="3"/>
        <v>30</v>
      </c>
      <c r="L5" s="7">
        <f t="shared" si="4"/>
        <v>3.5</v>
      </c>
    </row>
    <row r="6">
      <c r="A6" s="1" t="s">
        <v>15</v>
      </c>
      <c r="B6" s="13">
        <v>0.25</v>
      </c>
      <c r="C6" s="6">
        <v>3000.0</v>
      </c>
      <c r="D6" s="6">
        <v>120000.0</v>
      </c>
      <c r="E6" s="6">
        <v>10000.0</v>
      </c>
      <c r="F6" s="6">
        <v>1400.0</v>
      </c>
      <c r="G6" s="6">
        <v>700.0</v>
      </c>
      <c r="H6" s="6">
        <v>16000.0</v>
      </c>
      <c r="I6" s="14">
        <f t="shared" si="1"/>
        <v>2.142857143</v>
      </c>
      <c r="J6" s="14">
        <f t="shared" si="2"/>
        <v>4.285714286</v>
      </c>
      <c r="K6" s="15">
        <f t="shared" si="3"/>
        <v>22.85714286</v>
      </c>
      <c r="L6" s="7">
        <f t="shared" si="4"/>
        <v>3</v>
      </c>
    </row>
    <row r="7">
      <c r="B7" s="10"/>
      <c r="I7" s="14"/>
      <c r="J7" s="14"/>
      <c r="L7" s="7"/>
    </row>
    <row r="8">
      <c r="B8" s="10"/>
      <c r="I8" s="14"/>
      <c r="J8" s="14"/>
      <c r="L8" s="7"/>
    </row>
    <row r="9">
      <c r="B9" s="10"/>
      <c r="I9" s="14"/>
      <c r="J9" s="14"/>
      <c r="L9" s="7"/>
    </row>
    <row r="10">
      <c r="B10" s="10"/>
      <c r="I10" s="14"/>
      <c r="J10" s="14"/>
      <c r="L10" s="7"/>
    </row>
    <row r="11">
      <c r="B11" s="10"/>
      <c r="I11" s="14"/>
      <c r="J11" s="14"/>
      <c r="L11" s="7"/>
    </row>
    <row r="12">
      <c r="B12" s="10"/>
      <c r="I12" s="14"/>
      <c r="J12" s="14"/>
      <c r="L12" s="7"/>
    </row>
    <row r="13">
      <c r="B13" s="10"/>
      <c r="I13" s="14"/>
      <c r="J13" s="14"/>
      <c r="L13" s="7"/>
    </row>
    <row r="14">
      <c r="B14" s="10"/>
      <c r="I14" s="14"/>
      <c r="J14" s="14"/>
      <c r="L14" s="7"/>
    </row>
    <row r="15">
      <c r="B15" s="10"/>
      <c r="I15" s="14"/>
      <c r="J15" s="14"/>
      <c r="L15" s="7"/>
    </row>
    <row r="16">
      <c r="B16" s="10"/>
      <c r="I16" s="14"/>
      <c r="J16" s="14"/>
      <c r="L16" s="7"/>
    </row>
    <row r="17">
      <c r="B17" s="10"/>
      <c r="I17" s="14"/>
      <c r="J17" s="14"/>
      <c r="L17" s="7"/>
    </row>
    <row r="18">
      <c r="B18" s="10"/>
      <c r="I18" s="14"/>
      <c r="J18" s="14"/>
      <c r="L18" s="7"/>
    </row>
    <row r="19">
      <c r="B19" s="10"/>
      <c r="I19" s="14"/>
      <c r="J19" s="14"/>
      <c r="L19" s="7"/>
    </row>
    <row r="20">
      <c r="B20" s="10"/>
      <c r="I20" s="14"/>
      <c r="J20" s="14"/>
      <c r="L20" s="7"/>
    </row>
    <row r="21">
      <c r="B21" s="10"/>
      <c r="I21" s="14"/>
      <c r="J21" s="14"/>
      <c r="L21" s="7"/>
    </row>
    <row r="22">
      <c r="B22" s="10"/>
      <c r="I22" s="14"/>
      <c r="J22" s="14"/>
      <c r="L22" s="7"/>
    </row>
    <row r="23">
      <c r="B23" s="10"/>
      <c r="I23" s="14"/>
      <c r="J23" s="14"/>
      <c r="L23" s="7"/>
    </row>
    <row r="24">
      <c r="B24" s="10"/>
      <c r="I24" s="14"/>
      <c r="J24" s="14"/>
      <c r="L24" s="7"/>
    </row>
    <row r="25">
      <c r="B25" s="10"/>
      <c r="I25" s="14"/>
      <c r="J25" s="14"/>
      <c r="L25" s="7"/>
    </row>
    <row r="26">
      <c r="B26" s="10"/>
      <c r="I26" s="14"/>
      <c r="J26" s="14"/>
      <c r="L26" s="7"/>
    </row>
    <row r="27">
      <c r="B27" s="10"/>
      <c r="I27" s="14"/>
      <c r="J27" s="14"/>
      <c r="L27" s="7"/>
    </row>
    <row r="28">
      <c r="B28" s="10"/>
      <c r="I28" s="14"/>
      <c r="J28" s="14"/>
      <c r="L28" s="7"/>
    </row>
    <row r="29">
      <c r="B29" s="10"/>
      <c r="I29" s="14"/>
      <c r="J29" s="14"/>
      <c r="L29" s="7"/>
    </row>
    <row r="30">
      <c r="B30" s="10"/>
      <c r="I30" s="14"/>
      <c r="J30" s="14"/>
      <c r="L30" s="7"/>
    </row>
    <row r="31">
      <c r="B31" s="10"/>
      <c r="I31" s="14"/>
      <c r="J31" s="14"/>
      <c r="L31" s="7"/>
    </row>
    <row r="32">
      <c r="B32" s="10"/>
      <c r="I32" s="14"/>
      <c r="J32" s="14"/>
      <c r="L32" s="7"/>
    </row>
    <row r="33">
      <c r="B33" s="10"/>
      <c r="I33" s="14"/>
      <c r="J33" s="14"/>
      <c r="L33" s="7"/>
    </row>
    <row r="34">
      <c r="B34" s="10"/>
      <c r="I34" s="14"/>
      <c r="J34" s="14"/>
      <c r="L34" s="7"/>
    </row>
    <row r="35">
      <c r="B35" s="10"/>
      <c r="I35" s="14"/>
      <c r="J35" s="14"/>
      <c r="L35" s="7"/>
    </row>
    <row r="36">
      <c r="B36" s="10"/>
      <c r="I36" s="14"/>
      <c r="J36" s="14"/>
      <c r="L36" s="7"/>
    </row>
    <row r="37">
      <c r="B37" s="10"/>
      <c r="I37" s="14"/>
      <c r="J37" s="14"/>
      <c r="L37" s="7"/>
    </row>
    <row r="38">
      <c r="B38" s="10"/>
      <c r="I38" s="14"/>
      <c r="J38" s="14"/>
      <c r="L38" s="7"/>
    </row>
    <row r="39">
      <c r="B39" s="10"/>
      <c r="I39" s="14"/>
      <c r="J39" s="14"/>
      <c r="L39" s="7"/>
    </row>
    <row r="40">
      <c r="B40" s="10"/>
      <c r="I40" s="14"/>
      <c r="J40" s="14"/>
      <c r="L40" s="7"/>
    </row>
    <row r="41">
      <c r="B41" s="10"/>
      <c r="I41" s="14"/>
      <c r="J41" s="14"/>
      <c r="L41" s="7"/>
    </row>
    <row r="42">
      <c r="B42" s="10"/>
      <c r="I42" s="14"/>
      <c r="J42" s="14"/>
      <c r="L42" s="7"/>
    </row>
    <row r="43">
      <c r="B43" s="10"/>
      <c r="I43" s="14"/>
      <c r="J43" s="14"/>
      <c r="L43" s="7"/>
    </row>
    <row r="44">
      <c r="B44" s="10"/>
      <c r="I44" s="14"/>
      <c r="J44" s="14"/>
      <c r="L44" s="7"/>
    </row>
    <row r="45">
      <c r="B45" s="10"/>
      <c r="I45" s="14"/>
      <c r="J45" s="14"/>
      <c r="L45" s="7"/>
    </row>
    <row r="46">
      <c r="B46" s="10"/>
      <c r="I46" s="14"/>
      <c r="J46" s="14"/>
      <c r="L46" s="7"/>
    </row>
    <row r="47">
      <c r="B47" s="10"/>
      <c r="I47" s="14"/>
      <c r="J47" s="14"/>
      <c r="L47" s="7"/>
    </row>
    <row r="48">
      <c r="B48" s="10"/>
      <c r="I48" s="14"/>
      <c r="J48" s="14"/>
      <c r="L48" s="7"/>
    </row>
    <row r="49">
      <c r="B49" s="10"/>
      <c r="I49" s="14"/>
      <c r="J49" s="14"/>
      <c r="L49" s="7"/>
    </row>
    <row r="50">
      <c r="B50" s="10"/>
      <c r="I50" s="14"/>
      <c r="J50" s="14"/>
      <c r="L50" s="7"/>
    </row>
    <row r="51">
      <c r="B51" s="10"/>
      <c r="I51" s="14"/>
      <c r="J51" s="14"/>
      <c r="L51" s="7"/>
    </row>
    <row r="52">
      <c r="B52" s="10"/>
      <c r="I52" s="14"/>
      <c r="J52" s="14"/>
      <c r="L52" s="7"/>
    </row>
    <row r="53">
      <c r="B53" s="10"/>
      <c r="I53" s="14"/>
      <c r="J53" s="14"/>
      <c r="L53" s="7"/>
    </row>
    <row r="54">
      <c r="B54" s="10"/>
      <c r="I54" s="14"/>
      <c r="J54" s="14"/>
      <c r="L54" s="7"/>
    </row>
    <row r="55">
      <c r="B55" s="10"/>
      <c r="I55" s="14"/>
      <c r="J55" s="14"/>
      <c r="L55" s="7"/>
    </row>
    <row r="56">
      <c r="B56" s="10"/>
      <c r="I56" s="14"/>
      <c r="J56" s="14"/>
      <c r="L56" s="7"/>
    </row>
    <row r="57">
      <c r="B57" s="10"/>
      <c r="I57" s="14"/>
      <c r="J57" s="14"/>
      <c r="L57" s="7"/>
    </row>
    <row r="58">
      <c r="B58" s="10"/>
      <c r="I58" s="14"/>
      <c r="J58" s="14"/>
      <c r="L58" s="7"/>
    </row>
    <row r="59">
      <c r="B59" s="10"/>
      <c r="I59" s="14"/>
      <c r="J59" s="14"/>
      <c r="L59" s="7"/>
    </row>
    <row r="60">
      <c r="B60" s="10"/>
      <c r="I60" s="14"/>
      <c r="J60" s="14"/>
      <c r="L60" s="7"/>
    </row>
    <row r="61">
      <c r="B61" s="10"/>
      <c r="I61" s="14"/>
      <c r="J61" s="14"/>
      <c r="L61" s="7"/>
    </row>
    <row r="62">
      <c r="B62" s="10"/>
      <c r="I62" s="14"/>
      <c r="J62" s="14"/>
      <c r="L62" s="7"/>
    </row>
    <row r="63">
      <c r="B63" s="10"/>
      <c r="I63" s="14"/>
      <c r="J63" s="14"/>
      <c r="L63" s="7"/>
    </row>
    <row r="64">
      <c r="B64" s="10"/>
      <c r="I64" s="14"/>
      <c r="J64" s="14"/>
      <c r="L64" s="7"/>
    </row>
    <row r="65">
      <c r="B65" s="10"/>
      <c r="I65" s="14"/>
      <c r="J65" s="14"/>
      <c r="L65" s="7"/>
    </row>
    <row r="66">
      <c r="B66" s="10"/>
      <c r="I66" s="14"/>
      <c r="J66" s="14"/>
      <c r="L66" s="7"/>
    </row>
    <row r="67">
      <c r="B67" s="10"/>
      <c r="I67" s="14"/>
      <c r="J67" s="14"/>
      <c r="L67" s="7"/>
    </row>
    <row r="68">
      <c r="B68" s="10"/>
      <c r="I68" s="14"/>
      <c r="J68" s="14"/>
      <c r="L68" s="7"/>
    </row>
    <row r="69">
      <c r="B69" s="10"/>
      <c r="I69" s="14"/>
      <c r="J69" s="14"/>
      <c r="L69" s="7"/>
    </row>
    <row r="70">
      <c r="B70" s="10"/>
      <c r="I70" s="14"/>
      <c r="J70" s="14"/>
      <c r="L70" s="7"/>
    </row>
    <row r="71">
      <c r="B71" s="10"/>
      <c r="I71" s="14"/>
      <c r="J71" s="14"/>
      <c r="L71" s="7"/>
    </row>
    <row r="72">
      <c r="B72" s="10"/>
      <c r="I72" s="14"/>
      <c r="J72" s="14"/>
      <c r="L72" s="7"/>
    </row>
    <row r="73">
      <c r="B73" s="10"/>
      <c r="I73" s="14"/>
      <c r="J73" s="14"/>
      <c r="L73" s="7"/>
    </row>
    <row r="74">
      <c r="B74" s="10"/>
      <c r="I74" s="14"/>
      <c r="J74" s="14"/>
      <c r="L74" s="7"/>
    </row>
    <row r="75">
      <c r="B75" s="10"/>
      <c r="I75" s="14"/>
      <c r="J75" s="14"/>
      <c r="L75" s="7"/>
    </row>
    <row r="76">
      <c r="B76" s="10"/>
      <c r="I76" s="14"/>
      <c r="J76" s="14"/>
      <c r="L76" s="7"/>
    </row>
    <row r="77">
      <c r="B77" s="10"/>
      <c r="I77" s="14"/>
      <c r="J77" s="14"/>
      <c r="L77" s="7"/>
    </row>
    <row r="78">
      <c r="B78" s="10"/>
      <c r="I78" s="14"/>
      <c r="J78" s="14"/>
      <c r="L78" s="7"/>
    </row>
    <row r="79">
      <c r="B79" s="10"/>
      <c r="I79" s="14"/>
      <c r="J79" s="14"/>
      <c r="L79" s="7"/>
    </row>
    <row r="80">
      <c r="B80" s="10"/>
      <c r="I80" s="14"/>
      <c r="J80" s="14"/>
      <c r="L80" s="7"/>
    </row>
    <row r="81">
      <c r="B81" s="10"/>
      <c r="I81" s="14"/>
      <c r="J81" s="14"/>
      <c r="L81" s="7"/>
    </row>
    <row r="82">
      <c r="B82" s="10"/>
      <c r="I82" s="14"/>
      <c r="J82" s="14"/>
      <c r="L82" s="7"/>
    </row>
    <row r="83">
      <c r="B83" s="10"/>
      <c r="I83" s="14"/>
      <c r="J83" s="14"/>
      <c r="L83" s="7"/>
    </row>
    <row r="84">
      <c r="B84" s="10"/>
      <c r="I84" s="14"/>
      <c r="J84" s="14"/>
      <c r="L84" s="7"/>
    </row>
    <row r="85">
      <c r="B85" s="10"/>
      <c r="I85" s="14"/>
      <c r="J85" s="14"/>
      <c r="L85" s="7"/>
    </row>
    <row r="86">
      <c r="B86" s="10"/>
      <c r="I86" s="14"/>
      <c r="J86" s="14"/>
      <c r="L86" s="7"/>
    </row>
    <row r="87">
      <c r="B87" s="10"/>
      <c r="I87" s="14"/>
      <c r="J87" s="14"/>
      <c r="L87" s="7"/>
    </row>
    <row r="88">
      <c r="B88" s="10"/>
      <c r="I88" s="14"/>
      <c r="J88" s="14"/>
      <c r="L88" s="7"/>
    </row>
    <row r="89">
      <c r="B89" s="10"/>
      <c r="I89" s="14"/>
      <c r="J89" s="14"/>
      <c r="L89" s="7"/>
    </row>
    <row r="90">
      <c r="B90" s="10"/>
      <c r="I90" s="14"/>
      <c r="J90" s="14"/>
      <c r="L90" s="7"/>
    </row>
    <row r="91">
      <c r="B91" s="10"/>
      <c r="I91" s="14"/>
      <c r="J91" s="14"/>
      <c r="L91" s="7"/>
    </row>
    <row r="92">
      <c r="B92" s="10"/>
      <c r="I92" s="14"/>
      <c r="J92" s="14"/>
      <c r="L92" s="7"/>
    </row>
    <row r="93">
      <c r="B93" s="10"/>
      <c r="I93" s="14"/>
      <c r="J93" s="14"/>
      <c r="L93" s="7"/>
    </row>
    <row r="94">
      <c r="B94" s="10"/>
      <c r="I94" s="14"/>
      <c r="J94" s="14"/>
      <c r="L94" s="7"/>
    </row>
    <row r="95">
      <c r="B95" s="10"/>
      <c r="I95" s="14"/>
      <c r="J95" s="14"/>
      <c r="L95" s="7"/>
    </row>
    <row r="96">
      <c r="B96" s="10"/>
      <c r="I96" s="14"/>
      <c r="J96" s="14"/>
      <c r="L96" s="7"/>
    </row>
    <row r="97">
      <c r="B97" s="10"/>
      <c r="I97" s="14"/>
      <c r="J97" s="14"/>
      <c r="L97" s="7"/>
    </row>
    <row r="98">
      <c r="B98" s="10"/>
      <c r="I98" s="14"/>
      <c r="J98" s="14"/>
      <c r="L98" s="7"/>
    </row>
    <row r="99">
      <c r="B99" s="10"/>
      <c r="I99" s="14"/>
      <c r="J99" s="14"/>
      <c r="L99" s="7"/>
    </row>
    <row r="100">
      <c r="B100" s="10"/>
      <c r="I100" s="14"/>
      <c r="J100" s="14"/>
      <c r="L100" s="7"/>
    </row>
    <row r="101">
      <c r="B101" s="10"/>
      <c r="I101" s="14"/>
      <c r="J101" s="14"/>
      <c r="L101" s="7"/>
    </row>
    <row r="102">
      <c r="B102" s="10"/>
      <c r="I102" s="14"/>
      <c r="J102" s="14"/>
      <c r="L102" s="7"/>
    </row>
    <row r="103">
      <c r="B103" s="10"/>
      <c r="I103" s="14"/>
      <c r="J103" s="14"/>
      <c r="L103" s="7"/>
    </row>
    <row r="104">
      <c r="B104" s="10"/>
      <c r="I104" s="14"/>
      <c r="J104" s="14"/>
      <c r="L104" s="7"/>
    </row>
    <row r="105">
      <c r="B105" s="10"/>
      <c r="I105" s="14"/>
      <c r="J105" s="14"/>
      <c r="L105" s="7"/>
    </row>
    <row r="106">
      <c r="B106" s="10"/>
      <c r="I106" s="14"/>
      <c r="J106" s="14"/>
      <c r="L106" s="7"/>
    </row>
    <row r="107">
      <c r="B107" s="10"/>
      <c r="I107" s="14"/>
      <c r="J107" s="14"/>
      <c r="L107" s="7"/>
    </row>
    <row r="108">
      <c r="B108" s="10"/>
      <c r="I108" s="14"/>
      <c r="J108" s="14"/>
      <c r="L108" s="7"/>
    </row>
    <row r="109">
      <c r="B109" s="10"/>
      <c r="I109" s="14"/>
      <c r="J109" s="14"/>
      <c r="L109" s="7"/>
    </row>
    <row r="110">
      <c r="B110" s="10"/>
      <c r="I110" s="14"/>
      <c r="J110" s="14"/>
      <c r="L110" s="7"/>
    </row>
    <row r="111">
      <c r="B111" s="10"/>
      <c r="I111" s="14"/>
      <c r="J111" s="14"/>
      <c r="L111" s="7"/>
    </row>
    <row r="112">
      <c r="B112" s="10"/>
      <c r="I112" s="14"/>
      <c r="J112" s="14"/>
      <c r="L112" s="7"/>
    </row>
    <row r="113">
      <c r="B113" s="10"/>
      <c r="I113" s="14"/>
      <c r="J113" s="14"/>
      <c r="L113" s="7"/>
    </row>
    <row r="114">
      <c r="B114" s="10"/>
      <c r="I114" s="14"/>
      <c r="J114" s="14"/>
      <c r="L114" s="7"/>
    </row>
    <row r="115">
      <c r="B115" s="10"/>
      <c r="I115" s="14"/>
      <c r="J115" s="14"/>
      <c r="L115" s="7"/>
    </row>
    <row r="116">
      <c r="B116" s="10"/>
      <c r="I116" s="14"/>
      <c r="J116" s="14"/>
      <c r="L116" s="7"/>
    </row>
    <row r="117">
      <c r="B117" s="10"/>
      <c r="I117" s="14"/>
      <c r="J117" s="14"/>
      <c r="L117" s="7"/>
    </row>
    <row r="118">
      <c r="B118" s="10"/>
      <c r="I118" s="14"/>
      <c r="J118" s="14"/>
      <c r="L118" s="7"/>
    </row>
    <row r="119">
      <c r="B119" s="10"/>
      <c r="I119" s="14"/>
      <c r="J119" s="14"/>
      <c r="L119" s="7"/>
    </row>
    <row r="120">
      <c r="B120" s="10"/>
      <c r="I120" s="14"/>
      <c r="J120" s="14"/>
      <c r="L120" s="7"/>
    </row>
    <row r="121">
      <c r="B121" s="10"/>
      <c r="I121" s="14"/>
      <c r="J121" s="14"/>
      <c r="L121" s="7"/>
    </row>
    <row r="122">
      <c r="B122" s="10"/>
      <c r="I122" s="14"/>
      <c r="J122" s="14"/>
      <c r="L122" s="7"/>
    </row>
    <row r="123">
      <c r="B123" s="10"/>
      <c r="I123" s="14"/>
      <c r="J123" s="14"/>
      <c r="L123" s="7"/>
    </row>
    <row r="124">
      <c r="B124" s="10"/>
      <c r="I124" s="14"/>
      <c r="J124" s="14"/>
      <c r="L124" s="7"/>
    </row>
    <row r="125">
      <c r="B125" s="10"/>
      <c r="I125" s="14"/>
      <c r="J125" s="14"/>
      <c r="L125" s="7"/>
    </row>
    <row r="126">
      <c r="B126" s="10"/>
      <c r="I126" s="14"/>
      <c r="J126" s="14"/>
      <c r="L126" s="7"/>
    </row>
    <row r="127">
      <c r="B127" s="10"/>
      <c r="I127" s="14"/>
      <c r="J127" s="14"/>
      <c r="L127" s="7"/>
    </row>
    <row r="128">
      <c r="B128" s="10"/>
      <c r="I128" s="14"/>
      <c r="J128" s="14"/>
      <c r="L128" s="7"/>
    </row>
    <row r="129">
      <c r="B129" s="10"/>
      <c r="I129" s="14"/>
      <c r="J129" s="14"/>
      <c r="L129" s="7"/>
    </row>
    <row r="130">
      <c r="B130" s="10"/>
      <c r="I130" s="14"/>
      <c r="J130" s="14"/>
      <c r="L130" s="7"/>
    </row>
    <row r="131">
      <c r="B131" s="10"/>
      <c r="I131" s="14"/>
      <c r="J131" s="14"/>
      <c r="L131" s="7"/>
    </row>
    <row r="132">
      <c r="B132" s="10"/>
      <c r="I132" s="14"/>
      <c r="J132" s="14"/>
      <c r="L132" s="7"/>
    </row>
    <row r="133">
      <c r="B133" s="10"/>
      <c r="I133" s="14"/>
      <c r="J133" s="14"/>
      <c r="L133" s="7"/>
    </row>
    <row r="134">
      <c r="B134" s="10"/>
      <c r="I134" s="14"/>
      <c r="J134" s="14"/>
      <c r="L134" s="7"/>
    </row>
    <row r="135">
      <c r="B135" s="10"/>
      <c r="I135" s="14"/>
      <c r="J135" s="14"/>
      <c r="L135" s="7"/>
    </row>
    <row r="136">
      <c r="B136" s="10"/>
      <c r="I136" s="14"/>
      <c r="J136" s="14"/>
      <c r="L136" s="7"/>
    </row>
    <row r="137">
      <c r="B137" s="10"/>
      <c r="I137" s="14"/>
      <c r="J137" s="14"/>
      <c r="L137" s="7"/>
    </row>
    <row r="138">
      <c r="B138" s="10"/>
      <c r="I138" s="14"/>
      <c r="J138" s="14"/>
      <c r="L138" s="7"/>
    </row>
    <row r="139">
      <c r="B139" s="10"/>
      <c r="I139" s="14"/>
      <c r="J139" s="14"/>
      <c r="L139" s="7"/>
    </row>
    <row r="140">
      <c r="B140" s="10"/>
      <c r="I140" s="14"/>
      <c r="J140" s="14"/>
      <c r="L140" s="7"/>
    </row>
    <row r="141">
      <c r="B141" s="10"/>
      <c r="I141" s="14"/>
      <c r="J141" s="14"/>
      <c r="L141" s="7"/>
    </row>
    <row r="142">
      <c r="B142" s="10"/>
      <c r="I142" s="14"/>
      <c r="J142" s="14"/>
      <c r="L142" s="7"/>
    </row>
    <row r="143">
      <c r="B143" s="10"/>
      <c r="I143" s="14"/>
      <c r="J143" s="14"/>
      <c r="L143" s="7"/>
    </row>
    <row r="144">
      <c r="B144" s="10"/>
      <c r="I144" s="14"/>
      <c r="J144" s="14"/>
      <c r="L144" s="7"/>
    </row>
    <row r="145">
      <c r="B145" s="10"/>
      <c r="I145" s="14"/>
      <c r="J145" s="14"/>
      <c r="L145" s="7"/>
    </row>
    <row r="146">
      <c r="B146" s="10"/>
      <c r="I146" s="14"/>
      <c r="J146" s="14"/>
      <c r="L146" s="7"/>
    </row>
    <row r="147">
      <c r="B147" s="10"/>
      <c r="I147" s="14"/>
      <c r="J147" s="14"/>
      <c r="L147" s="7"/>
    </row>
    <row r="148">
      <c r="B148" s="10"/>
      <c r="I148" s="14"/>
      <c r="J148" s="14"/>
      <c r="L148" s="7"/>
    </row>
    <row r="149">
      <c r="B149" s="10"/>
      <c r="I149" s="14"/>
      <c r="J149" s="14"/>
      <c r="L149" s="7"/>
    </row>
    <row r="150">
      <c r="B150" s="10"/>
      <c r="I150" s="14"/>
      <c r="J150" s="14"/>
      <c r="L150" s="7"/>
    </row>
    <row r="151">
      <c r="B151" s="10"/>
      <c r="I151" s="14"/>
      <c r="J151" s="14"/>
      <c r="L151" s="7"/>
    </row>
    <row r="152">
      <c r="B152" s="10"/>
      <c r="I152" s="14"/>
      <c r="J152" s="14"/>
      <c r="L152" s="7"/>
    </row>
    <row r="153">
      <c r="B153" s="10"/>
      <c r="I153" s="14"/>
      <c r="J153" s="14"/>
      <c r="L153" s="7"/>
    </row>
    <row r="154">
      <c r="B154" s="10"/>
      <c r="I154" s="14"/>
      <c r="J154" s="14"/>
      <c r="L154" s="7"/>
    </row>
    <row r="155">
      <c r="B155" s="10"/>
      <c r="I155" s="14"/>
      <c r="J155" s="14"/>
      <c r="L155" s="7"/>
    </row>
    <row r="156">
      <c r="B156" s="10"/>
      <c r="I156" s="14"/>
      <c r="J156" s="14"/>
      <c r="L156" s="7"/>
    </row>
    <row r="157">
      <c r="B157" s="10"/>
      <c r="I157" s="14"/>
      <c r="J157" s="14"/>
      <c r="L157" s="7"/>
    </row>
    <row r="158">
      <c r="B158" s="10"/>
      <c r="I158" s="14"/>
      <c r="J158" s="14"/>
      <c r="L158" s="7"/>
    </row>
    <row r="159">
      <c r="B159" s="10"/>
      <c r="I159" s="14"/>
      <c r="J159" s="14"/>
      <c r="L159" s="7"/>
    </row>
    <row r="160">
      <c r="B160" s="10"/>
      <c r="I160" s="14"/>
      <c r="J160" s="14"/>
      <c r="L160" s="7"/>
    </row>
    <row r="161">
      <c r="B161" s="10"/>
      <c r="I161" s="14"/>
      <c r="J161" s="14"/>
      <c r="L161" s="7"/>
    </row>
    <row r="162">
      <c r="B162" s="10"/>
      <c r="I162" s="14"/>
      <c r="J162" s="14"/>
      <c r="L162" s="7"/>
    </row>
    <row r="163">
      <c r="B163" s="10"/>
      <c r="I163" s="14"/>
      <c r="J163" s="14"/>
      <c r="L163" s="7"/>
    </row>
    <row r="164">
      <c r="B164" s="10"/>
      <c r="I164" s="14"/>
      <c r="J164" s="14"/>
      <c r="L164" s="7"/>
    </row>
    <row r="165">
      <c r="B165" s="10"/>
      <c r="I165" s="14"/>
      <c r="J165" s="14"/>
      <c r="L165" s="7"/>
    </row>
    <row r="166">
      <c r="B166" s="10"/>
      <c r="I166" s="14"/>
      <c r="J166" s="14"/>
      <c r="L166" s="7"/>
    </row>
    <row r="167">
      <c r="B167" s="10"/>
      <c r="I167" s="14"/>
      <c r="J167" s="14"/>
      <c r="L167" s="7"/>
    </row>
    <row r="168">
      <c r="B168" s="10"/>
      <c r="I168" s="14"/>
      <c r="J168" s="14"/>
      <c r="L168" s="7"/>
    </row>
    <row r="169">
      <c r="B169" s="10"/>
      <c r="I169" s="14"/>
      <c r="J169" s="14"/>
      <c r="L169" s="7"/>
    </row>
    <row r="170">
      <c r="B170" s="10"/>
      <c r="I170" s="14"/>
      <c r="J170" s="14"/>
      <c r="L170" s="7"/>
    </row>
    <row r="171">
      <c r="B171" s="10"/>
      <c r="I171" s="14"/>
      <c r="J171" s="14"/>
      <c r="L171" s="7"/>
    </row>
    <row r="172">
      <c r="B172" s="10"/>
      <c r="I172" s="14"/>
      <c r="J172" s="14"/>
      <c r="L172" s="7"/>
    </row>
    <row r="173">
      <c r="B173" s="10"/>
      <c r="I173" s="14"/>
      <c r="J173" s="14"/>
      <c r="L173" s="7"/>
    </row>
    <row r="174">
      <c r="B174" s="10"/>
      <c r="I174" s="14"/>
      <c r="J174" s="14"/>
      <c r="L174" s="7"/>
    </row>
    <row r="175">
      <c r="B175" s="10"/>
      <c r="I175" s="14"/>
      <c r="J175" s="14"/>
      <c r="L175" s="7"/>
    </row>
    <row r="176">
      <c r="B176" s="10"/>
      <c r="I176" s="14"/>
      <c r="J176" s="14"/>
      <c r="L176" s="7"/>
    </row>
    <row r="177">
      <c r="B177" s="10"/>
      <c r="I177" s="14"/>
      <c r="J177" s="14"/>
      <c r="L177" s="7"/>
    </row>
    <row r="178">
      <c r="B178" s="10"/>
      <c r="I178" s="14"/>
      <c r="J178" s="14"/>
      <c r="L178" s="7"/>
    </row>
    <row r="179">
      <c r="B179" s="10"/>
      <c r="I179" s="14"/>
      <c r="J179" s="14"/>
      <c r="L179" s="7"/>
    </row>
    <row r="180">
      <c r="B180" s="10"/>
      <c r="I180" s="14"/>
      <c r="J180" s="14"/>
      <c r="L180" s="7"/>
    </row>
    <row r="181">
      <c r="B181" s="10"/>
      <c r="I181" s="14"/>
      <c r="J181" s="14"/>
      <c r="L181" s="7"/>
    </row>
    <row r="182">
      <c r="B182" s="10"/>
      <c r="I182" s="14"/>
      <c r="J182" s="14"/>
      <c r="L182" s="7"/>
    </row>
    <row r="183">
      <c r="B183" s="10"/>
      <c r="I183" s="14"/>
      <c r="J183" s="14"/>
      <c r="L183" s="7"/>
    </row>
    <row r="184">
      <c r="B184" s="10"/>
      <c r="I184" s="14"/>
      <c r="J184" s="14"/>
      <c r="L184" s="7"/>
    </row>
    <row r="185">
      <c r="B185" s="10"/>
      <c r="I185" s="14"/>
      <c r="J185" s="14"/>
      <c r="L185" s="7"/>
    </row>
    <row r="186">
      <c r="B186" s="10"/>
      <c r="I186" s="14"/>
      <c r="J186" s="14"/>
      <c r="L186" s="7"/>
    </row>
    <row r="187">
      <c r="B187" s="10"/>
      <c r="I187" s="14"/>
      <c r="J187" s="14"/>
      <c r="L187" s="7"/>
    </row>
    <row r="188">
      <c r="B188" s="10"/>
      <c r="I188" s="14"/>
      <c r="J188" s="14"/>
      <c r="L188" s="7"/>
    </row>
    <row r="189">
      <c r="B189" s="10"/>
      <c r="I189" s="14"/>
      <c r="J189" s="14"/>
      <c r="L189" s="7"/>
    </row>
    <row r="190">
      <c r="B190" s="10"/>
      <c r="I190" s="14"/>
      <c r="J190" s="14"/>
      <c r="L190" s="7"/>
    </row>
    <row r="191">
      <c r="B191" s="10"/>
      <c r="I191" s="14"/>
      <c r="J191" s="14"/>
      <c r="L191" s="7"/>
    </row>
    <row r="192">
      <c r="B192" s="10"/>
      <c r="I192" s="14"/>
      <c r="J192" s="14"/>
      <c r="L192" s="7"/>
    </row>
    <row r="193">
      <c r="B193" s="10"/>
      <c r="I193" s="14"/>
      <c r="J193" s="14"/>
      <c r="L193" s="7"/>
    </row>
    <row r="194">
      <c r="B194" s="10"/>
      <c r="I194" s="14"/>
      <c r="J194" s="14"/>
      <c r="L194" s="7"/>
    </row>
    <row r="195">
      <c r="B195" s="10"/>
      <c r="I195" s="14"/>
      <c r="J195" s="14"/>
      <c r="L195" s="7"/>
    </row>
    <row r="196">
      <c r="B196" s="10"/>
      <c r="I196" s="14"/>
      <c r="J196" s="14"/>
      <c r="L196" s="7"/>
    </row>
    <row r="197">
      <c r="B197" s="10"/>
      <c r="I197" s="14"/>
      <c r="J197" s="14"/>
      <c r="L197" s="7"/>
    </row>
    <row r="198">
      <c r="B198" s="10"/>
      <c r="I198" s="14"/>
      <c r="J198" s="14"/>
      <c r="L198" s="7"/>
    </row>
    <row r="199">
      <c r="B199" s="10"/>
      <c r="I199" s="14"/>
      <c r="J199" s="14"/>
      <c r="L199" s="7"/>
    </row>
    <row r="200">
      <c r="B200" s="10"/>
      <c r="I200" s="14"/>
      <c r="J200" s="14"/>
      <c r="L200" s="7"/>
    </row>
    <row r="201">
      <c r="B201" s="10"/>
      <c r="I201" s="14"/>
      <c r="J201" s="14"/>
      <c r="L201" s="7"/>
    </row>
    <row r="202">
      <c r="B202" s="10"/>
      <c r="I202" s="14"/>
      <c r="J202" s="14"/>
      <c r="L202" s="7"/>
    </row>
    <row r="203">
      <c r="B203" s="10"/>
      <c r="I203" s="14"/>
      <c r="J203" s="14"/>
      <c r="L203" s="7"/>
    </row>
    <row r="204">
      <c r="B204" s="10"/>
      <c r="I204" s="14"/>
      <c r="J204" s="14"/>
      <c r="L204" s="7"/>
    </row>
    <row r="205">
      <c r="B205" s="10"/>
      <c r="I205" s="14"/>
      <c r="J205" s="14"/>
      <c r="L205" s="7"/>
    </row>
    <row r="206">
      <c r="B206" s="10"/>
      <c r="I206" s="14"/>
      <c r="J206" s="14"/>
      <c r="L206" s="7"/>
    </row>
    <row r="207">
      <c r="B207" s="10"/>
      <c r="I207" s="14"/>
      <c r="J207" s="14"/>
      <c r="L207" s="7"/>
    </row>
    <row r="208">
      <c r="B208" s="10"/>
      <c r="I208" s="14"/>
      <c r="J208" s="14"/>
      <c r="L208" s="7"/>
    </row>
    <row r="209">
      <c r="B209" s="10"/>
      <c r="I209" s="14"/>
      <c r="J209" s="14"/>
      <c r="L209" s="7"/>
    </row>
    <row r="210">
      <c r="B210" s="10"/>
      <c r="I210" s="14"/>
      <c r="J210" s="14"/>
      <c r="L210" s="7"/>
    </row>
    <row r="211">
      <c r="B211" s="10"/>
      <c r="I211" s="14"/>
      <c r="J211" s="14"/>
      <c r="L211" s="7"/>
    </row>
    <row r="212">
      <c r="B212" s="10"/>
      <c r="I212" s="14"/>
      <c r="J212" s="14"/>
      <c r="L212" s="7"/>
    </row>
    <row r="213">
      <c r="B213" s="10"/>
      <c r="I213" s="14"/>
      <c r="J213" s="14"/>
      <c r="L213" s="7"/>
    </row>
    <row r="214">
      <c r="B214" s="10"/>
      <c r="I214" s="14"/>
      <c r="J214" s="14"/>
      <c r="L214" s="7"/>
    </row>
    <row r="215">
      <c r="B215" s="10"/>
      <c r="I215" s="14"/>
      <c r="J215" s="14"/>
      <c r="L215" s="7"/>
    </row>
    <row r="216">
      <c r="B216" s="10"/>
      <c r="I216" s="14"/>
      <c r="J216" s="14"/>
      <c r="L216" s="7"/>
    </row>
    <row r="217">
      <c r="B217" s="10"/>
      <c r="I217" s="14"/>
      <c r="J217" s="14"/>
      <c r="L217" s="7"/>
    </row>
    <row r="218">
      <c r="B218" s="10"/>
      <c r="I218" s="14"/>
      <c r="J218" s="14"/>
      <c r="L218" s="7"/>
    </row>
    <row r="219">
      <c r="B219" s="10"/>
      <c r="I219" s="14"/>
      <c r="J219" s="14"/>
      <c r="L219" s="7"/>
    </row>
    <row r="220">
      <c r="B220" s="10"/>
      <c r="I220" s="14"/>
      <c r="J220" s="14"/>
      <c r="L220" s="7"/>
    </row>
    <row r="221">
      <c r="B221" s="10"/>
      <c r="I221" s="14"/>
      <c r="J221" s="14"/>
      <c r="L221" s="7"/>
    </row>
    <row r="222">
      <c r="B222" s="10"/>
      <c r="I222" s="14"/>
      <c r="J222" s="14"/>
      <c r="L222" s="7"/>
    </row>
    <row r="223">
      <c r="B223" s="10"/>
      <c r="I223" s="14"/>
      <c r="J223" s="14"/>
      <c r="L223" s="7"/>
    </row>
    <row r="224">
      <c r="B224" s="10"/>
      <c r="I224" s="14"/>
      <c r="J224" s="14"/>
      <c r="L224" s="7"/>
    </row>
    <row r="225">
      <c r="B225" s="10"/>
      <c r="I225" s="14"/>
      <c r="J225" s="14"/>
      <c r="L225" s="7"/>
    </row>
    <row r="226">
      <c r="B226" s="10"/>
      <c r="I226" s="14"/>
      <c r="J226" s="14"/>
      <c r="L226" s="7"/>
    </row>
    <row r="227">
      <c r="B227" s="10"/>
      <c r="I227" s="14"/>
      <c r="J227" s="14"/>
      <c r="L227" s="7"/>
    </row>
    <row r="228">
      <c r="B228" s="10"/>
      <c r="I228" s="14"/>
      <c r="J228" s="14"/>
      <c r="L228" s="7"/>
    </row>
    <row r="229">
      <c r="B229" s="10"/>
      <c r="I229" s="14"/>
      <c r="J229" s="14"/>
      <c r="L229" s="7"/>
    </row>
    <row r="230">
      <c r="B230" s="10"/>
      <c r="I230" s="14"/>
      <c r="J230" s="14"/>
      <c r="L230" s="7"/>
    </row>
    <row r="231">
      <c r="B231" s="10"/>
      <c r="I231" s="14"/>
      <c r="J231" s="14"/>
      <c r="L231" s="7"/>
    </row>
    <row r="232">
      <c r="B232" s="10"/>
      <c r="I232" s="14"/>
      <c r="J232" s="14"/>
      <c r="L232" s="7"/>
    </row>
    <row r="233">
      <c r="B233" s="10"/>
      <c r="I233" s="14"/>
      <c r="J233" s="14"/>
      <c r="L233" s="7"/>
    </row>
    <row r="234">
      <c r="B234" s="10"/>
      <c r="I234" s="14"/>
      <c r="J234" s="14"/>
      <c r="L234" s="7"/>
    </row>
    <row r="235">
      <c r="B235" s="10"/>
      <c r="I235" s="14"/>
      <c r="J235" s="14"/>
      <c r="L235" s="7"/>
    </row>
    <row r="236">
      <c r="B236" s="10"/>
      <c r="I236" s="14"/>
      <c r="J236" s="14"/>
      <c r="L236" s="7"/>
    </row>
    <row r="237">
      <c r="B237" s="10"/>
      <c r="I237" s="14"/>
      <c r="J237" s="14"/>
      <c r="L237" s="7"/>
    </row>
    <row r="238">
      <c r="B238" s="10"/>
      <c r="I238" s="14"/>
      <c r="J238" s="14"/>
      <c r="L238" s="7"/>
    </row>
    <row r="239">
      <c r="B239" s="10"/>
      <c r="I239" s="14"/>
      <c r="J239" s="14"/>
      <c r="L239" s="7"/>
    </row>
    <row r="240">
      <c r="B240" s="10"/>
      <c r="I240" s="14"/>
      <c r="J240" s="14"/>
      <c r="L240" s="7"/>
    </row>
    <row r="241">
      <c r="B241" s="10"/>
      <c r="I241" s="14"/>
      <c r="J241" s="14"/>
      <c r="L241" s="7"/>
    </row>
    <row r="242">
      <c r="B242" s="10"/>
      <c r="I242" s="14"/>
      <c r="J242" s="14"/>
      <c r="L242" s="7"/>
    </row>
    <row r="243">
      <c r="B243" s="10"/>
      <c r="I243" s="14"/>
      <c r="J243" s="14"/>
      <c r="L243" s="7"/>
    </row>
    <row r="244">
      <c r="B244" s="10"/>
      <c r="I244" s="14"/>
      <c r="J244" s="14"/>
      <c r="L244" s="7"/>
    </row>
    <row r="245">
      <c r="B245" s="10"/>
      <c r="I245" s="14"/>
      <c r="J245" s="14"/>
      <c r="L245" s="7"/>
    </row>
    <row r="246">
      <c r="B246" s="10"/>
      <c r="I246" s="14"/>
      <c r="J246" s="14"/>
      <c r="L246" s="7"/>
    </row>
    <row r="247">
      <c r="B247" s="10"/>
      <c r="I247" s="14"/>
      <c r="J247" s="14"/>
      <c r="L247" s="7"/>
    </row>
    <row r="248">
      <c r="B248" s="10"/>
      <c r="I248" s="14"/>
      <c r="J248" s="14"/>
      <c r="L248" s="7"/>
    </row>
    <row r="249">
      <c r="B249" s="10"/>
      <c r="I249" s="14"/>
      <c r="J249" s="14"/>
      <c r="L249" s="7"/>
    </row>
    <row r="250">
      <c r="B250" s="10"/>
      <c r="I250" s="14"/>
      <c r="J250" s="14"/>
      <c r="L250" s="7"/>
    </row>
    <row r="251">
      <c r="B251" s="10"/>
      <c r="I251" s="14"/>
      <c r="J251" s="14"/>
      <c r="L251" s="7"/>
    </row>
    <row r="252">
      <c r="B252" s="10"/>
      <c r="I252" s="14"/>
      <c r="J252" s="14"/>
      <c r="L252" s="7"/>
    </row>
    <row r="253">
      <c r="B253" s="10"/>
      <c r="I253" s="14"/>
      <c r="J253" s="14"/>
      <c r="L253" s="7"/>
    </row>
    <row r="254">
      <c r="B254" s="10"/>
      <c r="I254" s="14"/>
      <c r="J254" s="14"/>
      <c r="L254" s="7"/>
    </row>
    <row r="255">
      <c r="B255" s="10"/>
      <c r="I255" s="14"/>
      <c r="J255" s="14"/>
      <c r="L255" s="7"/>
    </row>
    <row r="256">
      <c r="B256" s="10"/>
      <c r="I256" s="14"/>
      <c r="J256" s="14"/>
      <c r="L256" s="7"/>
    </row>
    <row r="257">
      <c r="B257" s="10"/>
      <c r="I257" s="14"/>
      <c r="J257" s="14"/>
      <c r="L257" s="7"/>
    </row>
    <row r="258">
      <c r="B258" s="10"/>
      <c r="I258" s="14"/>
      <c r="J258" s="14"/>
      <c r="L258" s="7"/>
    </row>
    <row r="259">
      <c r="B259" s="10"/>
      <c r="I259" s="14"/>
      <c r="J259" s="14"/>
      <c r="L259" s="7"/>
    </row>
    <row r="260">
      <c r="B260" s="10"/>
      <c r="I260" s="14"/>
      <c r="J260" s="14"/>
      <c r="L260" s="7"/>
    </row>
    <row r="261">
      <c r="B261" s="10"/>
      <c r="I261" s="14"/>
      <c r="J261" s="14"/>
      <c r="L261" s="7"/>
    </row>
    <row r="262">
      <c r="B262" s="10"/>
      <c r="I262" s="14"/>
      <c r="J262" s="14"/>
      <c r="L262" s="7"/>
    </row>
    <row r="263">
      <c r="B263" s="10"/>
      <c r="I263" s="14"/>
      <c r="J263" s="14"/>
      <c r="L263" s="7"/>
    </row>
    <row r="264">
      <c r="B264" s="10"/>
      <c r="I264" s="14"/>
      <c r="J264" s="14"/>
      <c r="L264" s="7"/>
    </row>
    <row r="265">
      <c r="B265" s="10"/>
      <c r="I265" s="14"/>
      <c r="J265" s="14"/>
      <c r="L265" s="7"/>
    </row>
    <row r="266">
      <c r="B266" s="10"/>
      <c r="I266" s="14"/>
      <c r="J266" s="14"/>
      <c r="L266" s="7"/>
    </row>
    <row r="267">
      <c r="B267" s="10"/>
      <c r="I267" s="14"/>
      <c r="J267" s="14"/>
      <c r="L267" s="7"/>
    </row>
    <row r="268">
      <c r="B268" s="10"/>
      <c r="I268" s="14"/>
      <c r="J268" s="14"/>
      <c r="L268" s="7"/>
    </row>
    <row r="269">
      <c r="B269" s="10"/>
      <c r="I269" s="14"/>
      <c r="J269" s="14"/>
      <c r="L269" s="7"/>
    </row>
    <row r="270">
      <c r="B270" s="10"/>
      <c r="I270" s="14"/>
      <c r="J270" s="14"/>
      <c r="L270" s="7"/>
    </row>
    <row r="271">
      <c r="B271" s="10"/>
      <c r="I271" s="14"/>
      <c r="J271" s="14"/>
      <c r="L271" s="7"/>
    </row>
    <row r="272">
      <c r="B272" s="10"/>
      <c r="I272" s="14"/>
      <c r="J272" s="14"/>
      <c r="L272" s="7"/>
    </row>
    <row r="273">
      <c r="B273" s="10"/>
      <c r="I273" s="14"/>
      <c r="J273" s="14"/>
      <c r="L273" s="7"/>
    </row>
    <row r="274">
      <c r="B274" s="10"/>
      <c r="I274" s="14"/>
      <c r="J274" s="14"/>
      <c r="L274" s="7"/>
    </row>
    <row r="275">
      <c r="B275" s="10"/>
      <c r="I275" s="14"/>
      <c r="J275" s="14"/>
      <c r="L275" s="7"/>
    </row>
    <row r="276">
      <c r="B276" s="10"/>
      <c r="I276" s="14"/>
      <c r="J276" s="14"/>
      <c r="L276" s="7"/>
    </row>
    <row r="277">
      <c r="B277" s="10"/>
      <c r="I277" s="14"/>
      <c r="J277" s="14"/>
      <c r="L277" s="7"/>
    </row>
    <row r="278">
      <c r="B278" s="10"/>
      <c r="I278" s="14"/>
      <c r="J278" s="14"/>
      <c r="L278" s="7"/>
    </row>
    <row r="279">
      <c r="B279" s="10"/>
      <c r="I279" s="14"/>
      <c r="J279" s="14"/>
      <c r="L279" s="7"/>
    </row>
    <row r="280">
      <c r="B280" s="10"/>
      <c r="I280" s="14"/>
      <c r="J280" s="14"/>
      <c r="L280" s="7"/>
    </row>
    <row r="281">
      <c r="B281" s="10"/>
      <c r="I281" s="14"/>
      <c r="J281" s="14"/>
      <c r="L281" s="7"/>
    </row>
    <row r="282">
      <c r="B282" s="10"/>
      <c r="I282" s="14"/>
      <c r="J282" s="14"/>
      <c r="L282" s="7"/>
    </row>
    <row r="283">
      <c r="B283" s="10"/>
      <c r="I283" s="14"/>
      <c r="J283" s="14"/>
      <c r="L283" s="7"/>
    </row>
    <row r="284">
      <c r="B284" s="10"/>
      <c r="I284" s="14"/>
      <c r="J284" s="14"/>
      <c r="L284" s="7"/>
    </row>
    <row r="285">
      <c r="B285" s="10"/>
      <c r="I285" s="14"/>
      <c r="J285" s="14"/>
      <c r="L285" s="7"/>
    </row>
    <row r="286">
      <c r="B286" s="10"/>
      <c r="I286" s="14"/>
      <c r="J286" s="14"/>
      <c r="L286" s="7"/>
    </row>
    <row r="287">
      <c r="B287" s="10"/>
      <c r="I287" s="14"/>
      <c r="J287" s="14"/>
      <c r="L287" s="7"/>
    </row>
    <row r="288">
      <c r="B288" s="10"/>
      <c r="I288" s="14"/>
      <c r="J288" s="14"/>
      <c r="L288" s="7"/>
    </row>
    <row r="289">
      <c r="B289" s="10"/>
      <c r="I289" s="14"/>
      <c r="J289" s="14"/>
      <c r="L289" s="7"/>
    </row>
    <row r="290">
      <c r="B290" s="10"/>
      <c r="I290" s="14"/>
      <c r="J290" s="14"/>
      <c r="L290" s="7"/>
    </row>
    <row r="291">
      <c r="B291" s="10"/>
      <c r="I291" s="14"/>
      <c r="J291" s="14"/>
      <c r="L291" s="7"/>
    </row>
    <row r="292">
      <c r="B292" s="10"/>
      <c r="I292" s="14"/>
      <c r="J292" s="14"/>
      <c r="L292" s="7"/>
    </row>
    <row r="293">
      <c r="B293" s="10"/>
      <c r="I293" s="14"/>
      <c r="J293" s="14"/>
      <c r="L293" s="7"/>
    </row>
    <row r="294">
      <c r="B294" s="10"/>
      <c r="I294" s="14"/>
      <c r="J294" s="14"/>
      <c r="L294" s="7"/>
    </row>
    <row r="295">
      <c r="B295" s="10"/>
      <c r="I295" s="14"/>
      <c r="J295" s="14"/>
      <c r="L295" s="7"/>
    </row>
    <row r="296">
      <c r="B296" s="10"/>
      <c r="I296" s="14"/>
      <c r="J296" s="14"/>
      <c r="L296" s="7"/>
    </row>
    <row r="297">
      <c r="B297" s="10"/>
      <c r="I297" s="14"/>
      <c r="J297" s="14"/>
      <c r="L297" s="7"/>
    </row>
    <row r="298">
      <c r="B298" s="10"/>
      <c r="I298" s="14"/>
      <c r="J298" s="14"/>
      <c r="L298" s="7"/>
    </row>
    <row r="299">
      <c r="B299" s="10"/>
      <c r="I299" s="14"/>
      <c r="J299" s="14"/>
      <c r="L299" s="7"/>
    </row>
    <row r="300">
      <c r="B300" s="10"/>
      <c r="I300" s="14"/>
      <c r="J300" s="14"/>
      <c r="L300" s="7"/>
    </row>
    <row r="301">
      <c r="B301" s="10"/>
      <c r="I301" s="14"/>
      <c r="J301" s="14"/>
      <c r="L301" s="7"/>
    </row>
    <row r="302">
      <c r="B302" s="10"/>
      <c r="I302" s="14"/>
      <c r="J302" s="14"/>
      <c r="L302" s="7"/>
    </row>
    <row r="303">
      <c r="B303" s="10"/>
      <c r="I303" s="14"/>
      <c r="J303" s="14"/>
      <c r="L303" s="7"/>
    </row>
    <row r="304">
      <c r="B304" s="10"/>
      <c r="I304" s="14"/>
      <c r="J304" s="14"/>
      <c r="L304" s="7"/>
    </row>
    <row r="305">
      <c r="B305" s="10"/>
      <c r="I305" s="14"/>
      <c r="J305" s="14"/>
      <c r="L305" s="7"/>
    </row>
    <row r="306">
      <c r="B306" s="10"/>
      <c r="I306" s="14"/>
      <c r="J306" s="14"/>
      <c r="L306" s="7"/>
    </row>
    <row r="307">
      <c r="B307" s="10"/>
      <c r="I307" s="14"/>
      <c r="J307" s="14"/>
      <c r="L307" s="7"/>
    </row>
    <row r="308">
      <c r="B308" s="10"/>
      <c r="I308" s="14"/>
      <c r="J308" s="14"/>
      <c r="L308" s="7"/>
    </row>
    <row r="309">
      <c r="B309" s="10"/>
      <c r="I309" s="14"/>
      <c r="J309" s="14"/>
      <c r="L309" s="7"/>
    </row>
    <row r="310">
      <c r="B310" s="10"/>
      <c r="I310" s="14"/>
      <c r="J310" s="14"/>
      <c r="L310" s="7"/>
    </row>
    <row r="311">
      <c r="B311" s="10"/>
      <c r="I311" s="14"/>
      <c r="J311" s="14"/>
      <c r="L311" s="7"/>
    </row>
    <row r="312">
      <c r="B312" s="10"/>
      <c r="I312" s="14"/>
      <c r="J312" s="14"/>
      <c r="L312" s="7"/>
    </row>
    <row r="313">
      <c r="B313" s="10"/>
      <c r="I313" s="14"/>
      <c r="J313" s="14"/>
      <c r="L313" s="7"/>
    </row>
    <row r="314">
      <c r="B314" s="10"/>
      <c r="I314" s="14"/>
      <c r="J314" s="14"/>
      <c r="L314" s="7"/>
    </row>
    <row r="315">
      <c r="B315" s="10"/>
      <c r="I315" s="14"/>
      <c r="J315" s="14"/>
      <c r="L315" s="7"/>
    </row>
    <row r="316">
      <c r="B316" s="10"/>
      <c r="I316" s="14"/>
      <c r="J316" s="14"/>
      <c r="L316" s="7"/>
    </row>
    <row r="317">
      <c r="B317" s="10"/>
      <c r="I317" s="14"/>
      <c r="J317" s="14"/>
      <c r="L317" s="7"/>
    </row>
    <row r="318">
      <c r="B318" s="10"/>
      <c r="I318" s="14"/>
      <c r="J318" s="14"/>
      <c r="L318" s="7"/>
    </row>
    <row r="319">
      <c r="B319" s="10"/>
      <c r="I319" s="14"/>
      <c r="J319" s="14"/>
      <c r="L319" s="7"/>
    </row>
    <row r="320">
      <c r="B320" s="10"/>
      <c r="I320" s="14"/>
      <c r="J320" s="14"/>
      <c r="L320" s="7"/>
    </row>
    <row r="321">
      <c r="B321" s="10"/>
      <c r="I321" s="14"/>
      <c r="J321" s="14"/>
      <c r="L321" s="7"/>
    </row>
    <row r="322">
      <c r="B322" s="10"/>
      <c r="I322" s="14"/>
      <c r="J322" s="14"/>
      <c r="L322" s="7"/>
    </row>
    <row r="323">
      <c r="B323" s="10"/>
      <c r="I323" s="14"/>
      <c r="J323" s="14"/>
      <c r="L323" s="7"/>
    </row>
    <row r="324">
      <c r="B324" s="10"/>
      <c r="I324" s="14"/>
      <c r="J324" s="14"/>
      <c r="L324" s="7"/>
    </row>
    <row r="325">
      <c r="B325" s="10"/>
      <c r="I325" s="14"/>
      <c r="J325" s="14"/>
      <c r="L325" s="7"/>
    </row>
    <row r="326">
      <c r="B326" s="10"/>
      <c r="I326" s="14"/>
      <c r="J326" s="14"/>
      <c r="L326" s="7"/>
    </row>
    <row r="327">
      <c r="B327" s="10"/>
      <c r="I327" s="14"/>
      <c r="J327" s="14"/>
      <c r="L327" s="7"/>
    </row>
    <row r="328">
      <c r="B328" s="10"/>
      <c r="I328" s="14"/>
      <c r="J328" s="14"/>
      <c r="L328" s="7"/>
    </row>
    <row r="329">
      <c r="B329" s="10"/>
      <c r="I329" s="14"/>
      <c r="J329" s="14"/>
      <c r="L329" s="7"/>
    </row>
    <row r="330">
      <c r="B330" s="10"/>
      <c r="I330" s="14"/>
      <c r="J330" s="14"/>
      <c r="L330" s="7"/>
    </row>
    <row r="331">
      <c r="B331" s="10"/>
      <c r="I331" s="14"/>
      <c r="J331" s="14"/>
      <c r="L331" s="7"/>
    </row>
    <row r="332">
      <c r="B332" s="10"/>
      <c r="I332" s="14"/>
      <c r="J332" s="14"/>
      <c r="L332" s="7"/>
    </row>
    <row r="333">
      <c r="B333" s="10"/>
      <c r="I333" s="14"/>
      <c r="J333" s="14"/>
      <c r="L333" s="7"/>
    </row>
    <row r="334">
      <c r="B334" s="10"/>
      <c r="I334" s="14"/>
      <c r="J334" s="14"/>
      <c r="L334" s="7"/>
    </row>
    <row r="335">
      <c r="B335" s="10"/>
      <c r="I335" s="14"/>
      <c r="J335" s="14"/>
      <c r="L335" s="7"/>
    </row>
    <row r="336">
      <c r="B336" s="10"/>
      <c r="I336" s="14"/>
      <c r="J336" s="14"/>
      <c r="L336" s="7"/>
    </row>
    <row r="337">
      <c r="B337" s="10"/>
      <c r="I337" s="14"/>
      <c r="J337" s="14"/>
      <c r="L337" s="7"/>
    </row>
    <row r="338">
      <c r="B338" s="10"/>
      <c r="I338" s="14"/>
      <c r="J338" s="14"/>
      <c r="L338" s="7"/>
    </row>
    <row r="339">
      <c r="B339" s="10"/>
      <c r="I339" s="14"/>
      <c r="J339" s="14"/>
      <c r="L339" s="7"/>
    </row>
    <row r="340">
      <c r="B340" s="10"/>
      <c r="I340" s="14"/>
      <c r="J340" s="14"/>
      <c r="L340" s="7"/>
    </row>
    <row r="341">
      <c r="B341" s="10"/>
      <c r="I341" s="14"/>
      <c r="J341" s="14"/>
      <c r="L341" s="7"/>
    </row>
    <row r="342">
      <c r="B342" s="10"/>
      <c r="I342" s="14"/>
      <c r="J342" s="14"/>
      <c r="L342" s="7"/>
    </row>
    <row r="343">
      <c r="B343" s="10"/>
      <c r="I343" s="14"/>
      <c r="J343" s="14"/>
      <c r="L343" s="7"/>
    </row>
    <row r="344">
      <c r="B344" s="10"/>
      <c r="I344" s="14"/>
      <c r="J344" s="14"/>
      <c r="L344" s="7"/>
    </row>
    <row r="345">
      <c r="B345" s="10"/>
      <c r="I345" s="14"/>
      <c r="J345" s="14"/>
      <c r="L345" s="7"/>
    </row>
    <row r="346">
      <c r="B346" s="10"/>
      <c r="I346" s="14"/>
      <c r="J346" s="14"/>
      <c r="L346" s="7"/>
    </row>
    <row r="347">
      <c r="B347" s="10"/>
      <c r="I347" s="14"/>
      <c r="J347" s="14"/>
      <c r="L347" s="7"/>
    </row>
    <row r="348">
      <c r="B348" s="10"/>
      <c r="I348" s="14"/>
      <c r="J348" s="14"/>
      <c r="L348" s="7"/>
    </row>
    <row r="349">
      <c r="B349" s="10"/>
      <c r="I349" s="14"/>
      <c r="J349" s="14"/>
      <c r="L349" s="7"/>
    </row>
    <row r="350">
      <c r="B350" s="10"/>
      <c r="I350" s="14"/>
      <c r="J350" s="14"/>
      <c r="L350" s="7"/>
    </row>
    <row r="351">
      <c r="B351" s="10"/>
      <c r="I351" s="14"/>
      <c r="J351" s="14"/>
      <c r="L351" s="7"/>
    </row>
    <row r="352">
      <c r="B352" s="10"/>
      <c r="I352" s="14"/>
      <c r="J352" s="14"/>
      <c r="L352" s="7"/>
    </row>
    <row r="353">
      <c r="B353" s="10"/>
      <c r="I353" s="14"/>
      <c r="J353" s="14"/>
      <c r="L353" s="7"/>
    </row>
    <row r="354">
      <c r="B354" s="10"/>
      <c r="I354" s="14"/>
      <c r="J354" s="14"/>
      <c r="L354" s="7"/>
    </row>
    <row r="355">
      <c r="B355" s="10"/>
      <c r="I355" s="14"/>
      <c r="J355" s="14"/>
      <c r="L355" s="7"/>
    </row>
    <row r="356">
      <c r="B356" s="10"/>
      <c r="I356" s="14"/>
      <c r="J356" s="14"/>
      <c r="L356" s="7"/>
    </row>
    <row r="357">
      <c r="B357" s="10"/>
      <c r="I357" s="14"/>
      <c r="J357" s="14"/>
      <c r="L357" s="7"/>
    </row>
    <row r="358">
      <c r="B358" s="10"/>
      <c r="I358" s="14"/>
      <c r="J358" s="14"/>
      <c r="L358" s="7"/>
    </row>
    <row r="359">
      <c r="B359" s="10"/>
      <c r="I359" s="14"/>
      <c r="J359" s="14"/>
      <c r="L359" s="7"/>
    </row>
    <row r="360">
      <c r="B360" s="10"/>
      <c r="I360" s="14"/>
      <c r="J360" s="14"/>
      <c r="L360" s="7"/>
    </row>
    <row r="361">
      <c r="B361" s="10"/>
      <c r="I361" s="14"/>
      <c r="J361" s="14"/>
      <c r="L361" s="7"/>
    </row>
    <row r="362">
      <c r="B362" s="10"/>
      <c r="I362" s="14"/>
      <c r="J362" s="14"/>
      <c r="L362" s="7"/>
    </row>
    <row r="363">
      <c r="B363" s="10"/>
      <c r="I363" s="14"/>
      <c r="J363" s="14"/>
      <c r="L363" s="7"/>
    </row>
    <row r="364">
      <c r="B364" s="10"/>
      <c r="I364" s="14"/>
      <c r="J364" s="14"/>
      <c r="L364" s="7"/>
    </row>
    <row r="365">
      <c r="B365" s="10"/>
      <c r="I365" s="14"/>
      <c r="J365" s="14"/>
      <c r="L365" s="7"/>
    </row>
    <row r="366">
      <c r="B366" s="10"/>
      <c r="I366" s="14"/>
      <c r="J366" s="14"/>
      <c r="L366" s="7"/>
    </row>
    <row r="367">
      <c r="B367" s="10"/>
      <c r="I367" s="14"/>
      <c r="J367" s="14"/>
      <c r="L367" s="7"/>
    </row>
    <row r="368">
      <c r="B368" s="10"/>
      <c r="I368" s="14"/>
      <c r="J368" s="14"/>
      <c r="L368" s="7"/>
    </row>
    <row r="369">
      <c r="B369" s="10"/>
      <c r="I369" s="14"/>
      <c r="J369" s="14"/>
      <c r="L369" s="7"/>
    </row>
    <row r="370">
      <c r="B370" s="10"/>
      <c r="I370" s="14"/>
      <c r="J370" s="14"/>
      <c r="L370" s="7"/>
    </row>
    <row r="371">
      <c r="B371" s="10"/>
      <c r="I371" s="14"/>
      <c r="J371" s="14"/>
      <c r="L371" s="7"/>
    </row>
    <row r="372">
      <c r="B372" s="10"/>
      <c r="I372" s="14"/>
      <c r="J372" s="14"/>
      <c r="L372" s="7"/>
    </row>
    <row r="373">
      <c r="B373" s="10"/>
      <c r="I373" s="14"/>
      <c r="J373" s="14"/>
      <c r="L373" s="7"/>
    </row>
    <row r="374">
      <c r="B374" s="10"/>
      <c r="I374" s="14"/>
      <c r="J374" s="14"/>
      <c r="L374" s="7"/>
    </row>
    <row r="375">
      <c r="B375" s="10"/>
      <c r="I375" s="14"/>
      <c r="J375" s="14"/>
      <c r="L375" s="7"/>
    </row>
    <row r="376">
      <c r="B376" s="10"/>
      <c r="I376" s="14"/>
      <c r="J376" s="14"/>
      <c r="L376" s="7"/>
    </row>
    <row r="377">
      <c r="B377" s="10"/>
      <c r="I377" s="14"/>
      <c r="J377" s="14"/>
      <c r="L377" s="7"/>
    </row>
    <row r="378">
      <c r="B378" s="10"/>
      <c r="I378" s="14"/>
      <c r="J378" s="14"/>
      <c r="L378" s="7"/>
    </row>
    <row r="379">
      <c r="B379" s="10"/>
      <c r="I379" s="14"/>
      <c r="J379" s="14"/>
      <c r="L379" s="7"/>
    </row>
    <row r="380">
      <c r="B380" s="10"/>
      <c r="I380" s="14"/>
      <c r="J380" s="14"/>
      <c r="L380" s="7"/>
    </row>
    <row r="381">
      <c r="B381" s="10"/>
      <c r="I381" s="14"/>
      <c r="J381" s="14"/>
      <c r="L381" s="7"/>
    </row>
    <row r="382">
      <c r="B382" s="10"/>
      <c r="I382" s="14"/>
      <c r="J382" s="14"/>
      <c r="L382" s="7"/>
    </row>
    <row r="383">
      <c r="B383" s="10"/>
      <c r="I383" s="14"/>
      <c r="J383" s="14"/>
      <c r="L383" s="7"/>
    </row>
    <row r="384">
      <c r="B384" s="10"/>
      <c r="I384" s="14"/>
      <c r="J384" s="14"/>
      <c r="L384" s="7"/>
    </row>
    <row r="385">
      <c r="B385" s="10"/>
      <c r="I385" s="14"/>
      <c r="J385" s="14"/>
      <c r="L385" s="7"/>
    </row>
    <row r="386">
      <c r="B386" s="10"/>
      <c r="I386" s="14"/>
      <c r="J386" s="14"/>
      <c r="L386" s="7"/>
    </row>
    <row r="387">
      <c r="B387" s="10"/>
      <c r="I387" s="14"/>
      <c r="J387" s="14"/>
      <c r="L387" s="7"/>
    </row>
    <row r="388">
      <c r="B388" s="10"/>
      <c r="I388" s="14"/>
      <c r="J388" s="14"/>
      <c r="L388" s="7"/>
    </row>
    <row r="389">
      <c r="B389" s="10"/>
      <c r="I389" s="14"/>
      <c r="J389" s="14"/>
      <c r="L389" s="7"/>
    </row>
    <row r="390">
      <c r="B390" s="10"/>
      <c r="I390" s="14"/>
      <c r="J390" s="14"/>
      <c r="L390" s="7"/>
    </row>
    <row r="391">
      <c r="B391" s="10"/>
      <c r="I391" s="14"/>
      <c r="J391" s="14"/>
      <c r="L391" s="7"/>
    </row>
    <row r="392">
      <c r="B392" s="10"/>
      <c r="I392" s="14"/>
      <c r="J392" s="14"/>
      <c r="L392" s="7"/>
    </row>
    <row r="393">
      <c r="B393" s="10"/>
      <c r="I393" s="14"/>
      <c r="J393" s="14"/>
      <c r="L393" s="7"/>
    </row>
    <row r="394">
      <c r="B394" s="10"/>
      <c r="I394" s="14"/>
      <c r="J394" s="14"/>
      <c r="L394" s="7"/>
    </row>
    <row r="395">
      <c r="B395" s="10"/>
      <c r="I395" s="14"/>
      <c r="J395" s="14"/>
      <c r="L395" s="7"/>
    </row>
    <row r="396">
      <c r="B396" s="10"/>
      <c r="I396" s="14"/>
      <c r="J396" s="14"/>
      <c r="L396" s="7"/>
    </row>
    <row r="397">
      <c r="B397" s="10"/>
      <c r="I397" s="14"/>
      <c r="J397" s="14"/>
      <c r="L397" s="7"/>
    </row>
    <row r="398">
      <c r="B398" s="10"/>
      <c r="I398" s="14"/>
      <c r="J398" s="14"/>
      <c r="L398" s="7"/>
    </row>
    <row r="399">
      <c r="B399" s="10"/>
      <c r="I399" s="14"/>
      <c r="J399" s="14"/>
      <c r="L399" s="7"/>
    </row>
    <row r="400">
      <c r="B400" s="10"/>
      <c r="I400" s="14"/>
      <c r="J400" s="14"/>
      <c r="L400" s="7"/>
    </row>
    <row r="401">
      <c r="B401" s="10"/>
      <c r="I401" s="14"/>
      <c r="J401" s="14"/>
      <c r="L401" s="7"/>
    </row>
    <row r="402">
      <c r="B402" s="10"/>
      <c r="I402" s="14"/>
      <c r="J402" s="14"/>
      <c r="L402" s="7"/>
    </row>
    <row r="403">
      <c r="B403" s="10"/>
      <c r="I403" s="14"/>
      <c r="J403" s="14"/>
      <c r="L403" s="7"/>
    </row>
    <row r="404">
      <c r="B404" s="10"/>
      <c r="I404" s="14"/>
      <c r="J404" s="14"/>
      <c r="L404" s="7"/>
    </row>
    <row r="405">
      <c r="B405" s="10"/>
      <c r="I405" s="14"/>
      <c r="J405" s="14"/>
      <c r="L405" s="7"/>
    </row>
    <row r="406">
      <c r="B406" s="10"/>
      <c r="I406" s="14"/>
      <c r="J406" s="14"/>
      <c r="L406" s="7"/>
    </row>
    <row r="407">
      <c r="B407" s="10"/>
      <c r="I407" s="14"/>
      <c r="J407" s="14"/>
      <c r="L407" s="7"/>
    </row>
    <row r="408">
      <c r="B408" s="10"/>
      <c r="I408" s="14"/>
      <c r="J408" s="14"/>
      <c r="L408" s="7"/>
    </row>
    <row r="409">
      <c r="B409" s="10"/>
      <c r="I409" s="14"/>
      <c r="J409" s="14"/>
      <c r="L409" s="7"/>
    </row>
    <row r="410">
      <c r="B410" s="10"/>
      <c r="I410" s="14"/>
      <c r="J410" s="14"/>
      <c r="L410" s="7"/>
    </row>
    <row r="411">
      <c r="B411" s="10"/>
      <c r="I411" s="14"/>
      <c r="J411" s="14"/>
      <c r="L411" s="7"/>
    </row>
    <row r="412">
      <c r="B412" s="10"/>
      <c r="I412" s="14"/>
      <c r="J412" s="14"/>
      <c r="L412" s="7"/>
    </row>
    <row r="413">
      <c r="B413" s="10"/>
      <c r="I413" s="14"/>
      <c r="J413" s="14"/>
      <c r="L413" s="7"/>
    </row>
    <row r="414">
      <c r="B414" s="10"/>
      <c r="I414" s="14"/>
      <c r="J414" s="14"/>
      <c r="L414" s="7"/>
    </row>
    <row r="415">
      <c r="B415" s="10"/>
      <c r="I415" s="14"/>
      <c r="J415" s="14"/>
      <c r="L415" s="7"/>
    </row>
    <row r="416">
      <c r="B416" s="10"/>
      <c r="I416" s="14"/>
      <c r="J416" s="14"/>
      <c r="L416" s="7"/>
    </row>
    <row r="417">
      <c r="B417" s="10"/>
      <c r="I417" s="14"/>
      <c r="J417" s="14"/>
      <c r="L417" s="7"/>
    </row>
    <row r="418">
      <c r="B418" s="10"/>
      <c r="I418" s="14"/>
      <c r="J418" s="14"/>
      <c r="L418" s="7"/>
    </row>
    <row r="419">
      <c r="B419" s="10"/>
      <c r="I419" s="14"/>
      <c r="J419" s="14"/>
      <c r="L419" s="7"/>
    </row>
    <row r="420">
      <c r="B420" s="10"/>
      <c r="I420" s="14"/>
      <c r="J420" s="14"/>
      <c r="L420" s="7"/>
    </row>
    <row r="421">
      <c r="B421" s="10"/>
      <c r="I421" s="14"/>
      <c r="J421" s="14"/>
      <c r="L421" s="7"/>
    </row>
    <row r="422">
      <c r="B422" s="10"/>
      <c r="I422" s="14"/>
      <c r="J422" s="14"/>
      <c r="L422" s="7"/>
    </row>
    <row r="423">
      <c r="B423" s="10"/>
      <c r="I423" s="14"/>
      <c r="J423" s="14"/>
      <c r="L423" s="7"/>
    </row>
    <row r="424">
      <c r="B424" s="10"/>
      <c r="I424" s="14"/>
      <c r="J424" s="14"/>
      <c r="L424" s="7"/>
    </row>
    <row r="425">
      <c r="B425" s="10"/>
      <c r="I425" s="14"/>
      <c r="J425" s="14"/>
      <c r="L425" s="7"/>
    </row>
    <row r="426">
      <c r="B426" s="10"/>
      <c r="I426" s="14"/>
      <c r="J426" s="14"/>
      <c r="L426" s="7"/>
    </row>
    <row r="427">
      <c r="B427" s="10"/>
      <c r="I427" s="14"/>
      <c r="J427" s="14"/>
      <c r="L427" s="7"/>
    </row>
    <row r="428">
      <c r="B428" s="10"/>
      <c r="I428" s="14"/>
      <c r="J428" s="14"/>
      <c r="L428" s="7"/>
    </row>
    <row r="429">
      <c r="B429" s="10"/>
      <c r="I429" s="14"/>
      <c r="J429" s="14"/>
      <c r="L429" s="7"/>
    </row>
    <row r="430">
      <c r="B430" s="10"/>
      <c r="I430" s="14"/>
      <c r="J430" s="14"/>
      <c r="L430" s="7"/>
    </row>
    <row r="431">
      <c r="B431" s="10"/>
      <c r="I431" s="14"/>
      <c r="J431" s="14"/>
      <c r="L431" s="7"/>
    </row>
    <row r="432">
      <c r="B432" s="10"/>
      <c r="I432" s="14"/>
      <c r="J432" s="14"/>
      <c r="L432" s="7"/>
    </row>
    <row r="433">
      <c r="B433" s="10"/>
      <c r="I433" s="14"/>
      <c r="J433" s="14"/>
      <c r="L433" s="7"/>
    </row>
    <row r="434">
      <c r="B434" s="10"/>
      <c r="I434" s="14"/>
      <c r="J434" s="14"/>
      <c r="L434" s="7"/>
    </row>
    <row r="435">
      <c r="B435" s="10"/>
      <c r="I435" s="14"/>
      <c r="J435" s="14"/>
      <c r="L435" s="7"/>
    </row>
    <row r="436">
      <c r="B436" s="10"/>
      <c r="I436" s="14"/>
      <c r="J436" s="14"/>
      <c r="L436" s="7"/>
    </row>
    <row r="437">
      <c r="B437" s="10"/>
      <c r="I437" s="14"/>
      <c r="J437" s="14"/>
      <c r="L437" s="7"/>
    </row>
    <row r="438">
      <c r="B438" s="10"/>
      <c r="I438" s="14"/>
      <c r="J438" s="14"/>
      <c r="L438" s="7"/>
    </row>
    <row r="439">
      <c r="B439" s="10"/>
      <c r="I439" s="14"/>
      <c r="J439" s="14"/>
      <c r="L439" s="7"/>
    </row>
    <row r="440">
      <c r="B440" s="10"/>
      <c r="I440" s="14"/>
      <c r="J440" s="14"/>
      <c r="L440" s="7"/>
    </row>
    <row r="441">
      <c r="B441" s="10"/>
      <c r="I441" s="14"/>
      <c r="J441" s="14"/>
      <c r="L441" s="7"/>
    </row>
    <row r="442">
      <c r="B442" s="10"/>
      <c r="I442" s="14"/>
      <c r="J442" s="14"/>
      <c r="L442" s="7"/>
    </row>
    <row r="443">
      <c r="B443" s="10"/>
      <c r="I443" s="14"/>
      <c r="J443" s="14"/>
      <c r="L443" s="7"/>
    </row>
    <row r="444">
      <c r="B444" s="10"/>
      <c r="I444" s="14"/>
      <c r="J444" s="14"/>
      <c r="L444" s="7"/>
    </row>
    <row r="445">
      <c r="B445" s="10"/>
      <c r="I445" s="14"/>
      <c r="J445" s="14"/>
      <c r="L445" s="7"/>
    </row>
    <row r="446">
      <c r="B446" s="10"/>
      <c r="I446" s="14"/>
      <c r="J446" s="14"/>
      <c r="L446" s="7"/>
    </row>
    <row r="447">
      <c r="B447" s="10"/>
      <c r="I447" s="14"/>
      <c r="J447" s="14"/>
      <c r="L447" s="7"/>
    </row>
    <row r="448">
      <c r="B448" s="10"/>
      <c r="I448" s="14"/>
      <c r="J448" s="14"/>
      <c r="L448" s="7"/>
    </row>
    <row r="449">
      <c r="B449" s="10"/>
      <c r="I449" s="14"/>
      <c r="J449" s="14"/>
      <c r="L449" s="7"/>
    </row>
    <row r="450">
      <c r="B450" s="10"/>
      <c r="I450" s="14"/>
      <c r="J450" s="14"/>
      <c r="L450" s="7"/>
    </row>
    <row r="451">
      <c r="B451" s="10"/>
      <c r="I451" s="14"/>
      <c r="J451" s="14"/>
      <c r="L451" s="7"/>
    </row>
    <row r="452">
      <c r="B452" s="10"/>
      <c r="I452" s="14"/>
      <c r="J452" s="14"/>
      <c r="L452" s="7"/>
    </row>
    <row r="453">
      <c r="B453" s="10"/>
      <c r="I453" s="14"/>
      <c r="J453" s="14"/>
      <c r="L453" s="7"/>
    </row>
    <row r="454">
      <c r="B454" s="10"/>
      <c r="I454" s="14"/>
      <c r="J454" s="14"/>
      <c r="L454" s="7"/>
    </row>
    <row r="455">
      <c r="B455" s="10"/>
      <c r="I455" s="14"/>
      <c r="J455" s="14"/>
      <c r="L455" s="7"/>
    </row>
    <row r="456">
      <c r="B456" s="10"/>
      <c r="I456" s="14"/>
      <c r="J456" s="14"/>
      <c r="L456" s="7"/>
    </row>
    <row r="457">
      <c r="B457" s="10"/>
      <c r="I457" s="14"/>
      <c r="J457" s="14"/>
      <c r="L457" s="7"/>
    </row>
    <row r="458">
      <c r="B458" s="10"/>
      <c r="I458" s="14"/>
      <c r="J458" s="14"/>
      <c r="L458" s="7"/>
    </row>
    <row r="459">
      <c r="B459" s="10"/>
      <c r="I459" s="14"/>
      <c r="J459" s="14"/>
      <c r="L459" s="7"/>
    </row>
    <row r="460">
      <c r="B460" s="10"/>
      <c r="I460" s="14"/>
      <c r="J460" s="14"/>
      <c r="L460" s="7"/>
    </row>
    <row r="461">
      <c r="B461" s="10"/>
      <c r="I461" s="14"/>
      <c r="J461" s="14"/>
      <c r="L461" s="7"/>
    </row>
    <row r="462">
      <c r="B462" s="10"/>
      <c r="I462" s="14"/>
      <c r="J462" s="14"/>
      <c r="L462" s="7"/>
    </row>
    <row r="463">
      <c r="B463" s="10"/>
      <c r="I463" s="14"/>
      <c r="J463" s="14"/>
      <c r="L463" s="7"/>
    </row>
    <row r="464">
      <c r="B464" s="10"/>
      <c r="I464" s="14"/>
      <c r="J464" s="14"/>
      <c r="L464" s="7"/>
    </row>
    <row r="465">
      <c r="B465" s="10"/>
      <c r="I465" s="14"/>
      <c r="J465" s="14"/>
      <c r="L465" s="7"/>
    </row>
    <row r="466">
      <c r="B466" s="10"/>
      <c r="I466" s="14"/>
      <c r="J466" s="14"/>
      <c r="L466" s="7"/>
    </row>
    <row r="467">
      <c r="B467" s="10"/>
      <c r="I467" s="14"/>
      <c r="J467" s="14"/>
      <c r="L467" s="7"/>
    </row>
    <row r="468">
      <c r="B468" s="10"/>
      <c r="I468" s="14"/>
      <c r="J468" s="14"/>
      <c r="L468" s="7"/>
    </row>
    <row r="469">
      <c r="B469" s="10"/>
      <c r="I469" s="14"/>
      <c r="J469" s="14"/>
      <c r="L469" s="7"/>
    </row>
    <row r="470">
      <c r="B470" s="10"/>
      <c r="I470" s="14"/>
      <c r="J470" s="14"/>
      <c r="L470" s="7"/>
    </row>
    <row r="471">
      <c r="B471" s="10"/>
      <c r="I471" s="14"/>
      <c r="J471" s="14"/>
      <c r="L471" s="7"/>
    </row>
    <row r="472">
      <c r="B472" s="10"/>
      <c r="I472" s="14"/>
      <c r="J472" s="14"/>
      <c r="L472" s="7"/>
    </row>
    <row r="473">
      <c r="B473" s="10"/>
      <c r="I473" s="14"/>
      <c r="J473" s="14"/>
      <c r="L473" s="7"/>
    </row>
    <row r="474">
      <c r="B474" s="10"/>
      <c r="I474" s="14"/>
      <c r="J474" s="14"/>
      <c r="L474" s="7"/>
    </row>
    <row r="475">
      <c r="B475" s="10"/>
      <c r="I475" s="14"/>
      <c r="J475" s="14"/>
      <c r="L475" s="7"/>
    </row>
    <row r="476">
      <c r="B476" s="10"/>
      <c r="I476" s="14"/>
      <c r="J476" s="14"/>
      <c r="L476" s="7"/>
    </row>
    <row r="477">
      <c r="B477" s="10"/>
      <c r="I477" s="14"/>
      <c r="J477" s="14"/>
      <c r="L477" s="7"/>
    </row>
    <row r="478">
      <c r="B478" s="10"/>
      <c r="I478" s="14"/>
      <c r="J478" s="14"/>
      <c r="L478" s="7"/>
    </row>
    <row r="479">
      <c r="B479" s="10"/>
      <c r="I479" s="14"/>
      <c r="J479" s="14"/>
      <c r="L479" s="7"/>
    </row>
    <row r="480">
      <c r="B480" s="10"/>
      <c r="I480" s="14"/>
      <c r="J480" s="14"/>
      <c r="L480" s="7"/>
    </row>
    <row r="481">
      <c r="B481" s="10"/>
      <c r="I481" s="14"/>
      <c r="J481" s="14"/>
      <c r="L481" s="7"/>
    </row>
    <row r="482">
      <c r="B482" s="10"/>
      <c r="I482" s="14"/>
      <c r="J482" s="14"/>
      <c r="L482" s="7"/>
    </row>
    <row r="483">
      <c r="B483" s="10"/>
      <c r="I483" s="14"/>
      <c r="J483" s="14"/>
      <c r="L483" s="7"/>
    </row>
    <row r="484">
      <c r="B484" s="10"/>
      <c r="I484" s="14"/>
      <c r="J484" s="14"/>
      <c r="L484" s="7"/>
    </row>
    <row r="485">
      <c r="B485" s="10"/>
      <c r="I485" s="14"/>
      <c r="J485" s="14"/>
      <c r="L485" s="7"/>
    </row>
    <row r="486">
      <c r="B486" s="10"/>
      <c r="I486" s="14"/>
      <c r="J486" s="14"/>
      <c r="L486" s="7"/>
    </row>
    <row r="487">
      <c r="B487" s="10"/>
      <c r="I487" s="14"/>
      <c r="J487" s="14"/>
      <c r="L487" s="7"/>
    </row>
    <row r="488">
      <c r="B488" s="10"/>
      <c r="I488" s="14"/>
      <c r="J488" s="14"/>
      <c r="L488" s="7"/>
    </row>
    <row r="489">
      <c r="B489" s="10"/>
      <c r="I489" s="14"/>
      <c r="J489" s="14"/>
      <c r="L489" s="7"/>
    </row>
    <row r="490">
      <c r="B490" s="10"/>
      <c r="I490" s="14"/>
      <c r="J490" s="14"/>
      <c r="L490" s="7"/>
    </row>
    <row r="491">
      <c r="B491" s="10"/>
      <c r="I491" s="14"/>
      <c r="J491" s="14"/>
      <c r="L491" s="7"/>
    </row>
    <row r="492">
      <c r="B492" s="10"/>
      <c r="I492" s="14"/>
      <c r="J492" s="14"/>
      <c r="L492" s="7"/>
    </row>
    <row r="493">
      <c r="B493" s="10"/>
      <c r="I493" s="14"/>
      <c r="J493" s="14"/>
      <c r="L493" s="7"/>
    </row>
    <row r="494">
      <c r="B494" s="10"/>
      <c r="I494" s="14"/>
      <c r="J494" s="14"/>
      <c r="L494" s="7"/>
    </row>
    <row r="495">
      <c r="B495" s="10"/>
      <c r="I495" s="14"/>
      <c r="J495" s="14"/>
      <c r="L495" s="7"/>
    </row>
    <row r="496">
      <c r="B496" s="10"/>
      <c r="I496" s="14"/>
      <c r="J496" s="14"/>
      <c r="L496" s="7"/>
    </row>
    <row r="497">
      <c r="B497" s="10"/>
      <c r="I497" s="14"/>
      <c r="J497" s="14"/>
      <c r="L497" s="7"/>
    </row>
    <row r="498">
      <c r="B498" s="10"/>
      <c r="I498" s="14"/>
      <c r="J498" s="14"/>
      <c r="L498" s="7"/>
    </row>
    <row r="499">
      <c r="B499" s="10"/>
      <c r="I499" s="14"/>
      <c r="J499" s="14"/>
      <c r="L499" s="7"/>
    </row>
    <row r="500">
      <c r="B500" s="10"/>
      <c r="I500" s="14"/>
      <c r="J500" s="14"/>
      <c r="L500" s="7"/>
    </row>
    <row r="501">
      <c r="B501" s="10"/>
      <c r="I501" s="14"/>
      <c r="J501" s="14"/>
      <c r="L501" s="7"/>
    </row>
    <row r="502">
      <c r="B502" s="10"/>
      <c r="I502" s="14"/>
      <c r="J502" s="14"/>
      <c r="L502" s="7"/>
    </row>
    <row r="503">
      <c r="B503" s="10"/>
      <c r="I503" s="14"/>
      <c r="J503" s="14"/>
      <c r="L503" s="7"/>
    </row>
    <row r="504">
      <c r="B504" s="10"/>
      <c r="I504" s="14"/>
      <c r="J504" s="14"/>
      <c r="L504" s="7"/>
    </row>
    <row r="505">
      <c r="B505" s="10"/>
      <c r="I505" s="14"/>
      <c r="J505" s="14"/>
      <c r="L505" s="7"/>
    </row>
    <row r="506">
      <c r="B506" s="10"/>
      <c r="I506" s="14"/>
      <c r="J506" s="14"/>
      <c r="L506" s="7"/>
    </row>
    <row r="507">
      <c r="B507" s="10"/>
      <c r="I507" s="14"/>
      <c r="J507" s="14"/>
      <c r="L507" s="7"/>
    </row>
    <row r="508">
      <c r="B508" s="10"/>
      <c r="I508" s="14"/>
      <c r="J508" s="14"/>
      <c r="L508" s="7"/>
    </row>
    <row r="509">
      <c r="B509" s="10"/>
      <c r="I509" s="14"/>
      <c r="J509" s="14"/>
      <c r="L509" s="7"/>
    </row>
    <row r="510">
      <c r="B510" s="10"/>
      <c r="I510" s="14"/>
      <c r="J510" s="14"/>
      <c r="L510" s="7"/>
    </row>
    <row r="511">
      <c r="B511" s="10"/>
      <c r="I511" s="14"/>
      <c r="J511" s="14"/>
      <c r="L511" s="7"/>
    </row>
    <row r="512">
      <c r="B512" s="10"/>
      <c r="I512" s="14"/>
      <c r="J512" s="14"/>
      <c r="L512" s="7"/>
    </row>
    <row r="513">
      <c r="B513" s="10"/>
      <c r="I513" s="14"/>
      <c r="J513" s="14"/>
      <c r="L513" s="7"/>
    </row>
    <row r="514">
      <c r="B514" s="10"/>
      <c r="I514" s="14"/>
      <c r="J514" s="14"/>
      <c r="L514" s="7"/>
    </row>
    <row r="515">
      <c r="B515" s="10"/>
      <c r="I515" s="14"/>
      <c r="J515" s="14"/>
      <c r="L515" s="7"/>
    </row>
    <row r="516">
      <c r="B516" s="10"/>
      <c r="I516" s="14"/>
      <c r="J516" s="14"/>
      <c r="L516" s="7"/>
    </row>
    <row r="517">
      <c r="B517" s="10"/>
      <c r="I517" s="14"/>
      <c r="J517" s="14"/>
      <c r="L517" s="7"/>
    </row>
    <row r="518">
      <c r="B518" s="10"/>
      <c r="I518" s="14"/>
      <c r="J518" s="14"/>
      <c r="L518" s="7"/>
    </row>
    <row r="519">
      <c r="B519" s="10"/>
      <c r="I519" s="14"/>
      <c r="J519" s="14"/>
      <c r="L519" s="7"/>
    </row>
    <row r="520">
      <c r="B520" s="10"/>
      <c r="I520" s="14"/>
      <c r="J520" s="14"/>
      <c r="L520" s="7"/>
    </row>
    <row r="521">
      <c r="B521" s="10"/>
      <c r="I521" s="14"/>
      <c r="J521" s="14"/>
      <c r="L521" s="7"/>
    </row>
    <row r="522">
      <c r="B522" s="10"/>
      <c r="I522" s="14"/>
      <c r="J522" s="14"/>
      <c r="L522" s="7"/>
    </row>
    <row r="523">
      <c r="B523" s="10"/>
      <c r="I523" s="14"/>
      <c r="J523" s="14"/>
      <c r="L523" s="7"/>
    </row>
    <row r="524">
      <c r="B524" s="10"/>
      <c r="I524" s="14"/>
      <c r="J524" s="14"/>
      <c r="L524" s="7"/>
    </row>
    <row r="525">
      <c r="B525" s="10"/>
      <c r="I525" s="14"/>
      <c r="J525" s="14"/>
      <c r="L525" s="7"/>
    </row>
    <row r="526">
      <c r="B526" s="10"/>
      <c r="I526" s="14"/>
      <c r="J526" s="14"/>
      <c r="L526" s="7"/>
    </row>
    <row r="527">
      <c r="B527" s="10"/>
      <c r="I527" s="14"/>
      <c r="J527" s="14"/>
      <c r="L527" s="7"/>
    </row>
    <row r="528">
      <c r="B528" s="10"/>
      <c r="I528" s="14"/>
      <c r="J528" s="14"/>
      <c r="L528" s="7"/>
    </row>
    <row r="529">
      <c r="B529" s="10"/>
      <c r="I529" s="14"/>
      <c r="J529" s="14"/>
      <c r="L529" s="7"/>
    </row>
    <row r="530">
      <c r="B530" s="10"/>
      <c r="I530" s="14"/>
      <c r="J530" s="14"/>
      <c r="L530" s="7"/>
    </row>
    <row r="531">
      <c r="B531" s="10"/>
      <c r="I531" s="14"/>
      <c r="J531" s="14"/>
      <c r="L531" s="7"/>
    </row>
    <row r="532">
      <c r="B532" s="10"/>
      <c r="I532" s="14"/>
      <c r="J532" s="14"/>
      <c r="L532" s="7"/>
    </row>
    <row r="533">
      <c r="B533" s="10"/>
      <c r="I533" s="14"/>
      <c r="J533" s="14"/>
      <c r="L533" s="7"/>
    </row>
    <row r="534">
      <c r="B534" s="10"/>
      <c r="I534" s="14"/>
      <c r="J534" s="14"/>
      <c r="L534" s="7"/>
    </row>
    <row r="535">
      <c r="B535" s="10"/>
      <c r="I535" s="14"/>
      <c r="J535" s="14"/>
      <c r="L535" s="7"/>
    </row>
    <row r="536">
      <c r="B536" s="10"/>
      <c r="I536" s="14"/>
      <c r="J536" s="14"/>
      <c r="L536" s="7"/>
    </row>
    <row r="537">
      <c r="B537" s="10"/>
      <c r="I537" s="14"/>
      <c r="J537" s="14"/>
      <c r="L537" s="7"/>
    </row>
    <row r="538">
      <c r="B538" s="10"/>
      <c r="I538" s="14"/>
      <c r="J538" s="14"/>
      <c r="L538" s="7"/>
    </row>
    <row r="539">
      <c r="B539" s="10"/>
      <c r="I539" s="14"/>
      <c r="J539" s="14"/>
      <c r="L539" s="7"/>
    </row>
    <row r="540">
      <c r="B540" s="10"/>
      <c r="I540" s="14"/>
      <c r="J540" s="14"/>
      <c r="L540" s="7"/>
    </row>
    <row r="541">
      <c r="B541" s="10"/>
      <c r="I541" s="14"/>
      <c r="J541" s="14"/>
      <c r="L541" s="7"/>
    </row>
    <row r="542">
      <c r="B542" s="10"/>
      <c r="I542" s="14"/>
      <c r="J542" s="14"/>
      <c r="L542" s="7"/>
    </row>
    <row r="543">
      <c r="B543" s="10"/>
      <c r="I543" s="14"/>
      <c r="J543" s="14"/>
      <c r="L543" s="7"/>
    </row>
    <row r="544">
      <c r="B544" s="10"/>
      <c r="I544" s="14"/>
      <c r="J544" s="14"/>
      <c r="L544" s="7"/>
    </row>
    <row r="545">
      <c r="B545" s="10"/>
      <c r="I545" s="14"/>
      <c r="J545" s="14"/>
      <c r="L545" s="7"/>
    </row>
    <row r="546">
      <c r="B546" s="10"/>
      <c r="I546" s="14"/>
      <c r="J546" s="14"/>
      <c r="L546" s="7"/>
    </row>
    <row r="547">
      <c r="B547" s="10"/>
      <c r="I547" s="14"/>
      <c r="J547" s="14"/>
      <c r="L547" s="7"/>
    </row>
    <row r="548">
      <c r="B548" s="10"/>
      <c r="I548" s="14"/>
      <c r="J548" s="14"/>
      <c r="L548" s="7"/>
    </row>
    <row r="549">
      <c r="B549" s="10"/>
      <c r="I549" s="14"/>
      <c r="J549" s="14"/>
      <c r="L549" s="7"/>
    </row>
    <row r="550">
      <c r="B550" s="10"/>
      <c r="I550" s="14"/>
      <c r="J550" s="14"/>
      <c r="L550" s="7"/>
    </row>
    <row r="551">
      <c r="B551" s="10"/>
      <c r="I551" s="14"/>
      <c r="J551" s="14"/>
      <c r="L551" s="7"/>
    </row>
    <row r="552">
      <c r="B552" s="10"/>
      <c r="I552" s="14"/>
      <c r="J552" s="14"/>
      <c r="L552" s="7"/>
    </row>
    <row r="553">
      <c r="B553" s="10"/>
      <c r="I553" s="14"/>
      <c r="J553" s="14"/>
      <c r="L553" s="7"/>
    </row>
    <row r="554">
      <c r="B554" s="10"/>
      <c r="I554" s="14"/>
      <c r="J554" s="14"/>
      <c r="L554" s="7"/>
    </row>
    <row r="555">
      <c r="B555" s="10"/>
      <c r="I555" s="14"/>
      <c r="J555" s="14"/>
      <c r="L555" s="7"/>
    </row>
    <row r="556">
      <c r="B556" s="10"/>
      <c r="I556" s="14"/>
      <c r="J556" s="14"/>
      <c r="L556" s="7"/>
    </row>
    <row r="557">
      <c r="B557" s="10"/>
      <c r="I557" s="14"/>
      <c r="J557" s="14"/>
      <c r="L557" s="7"/>
    </row>
    <row r="558">
      <c r="B558" s="10"/>
      <c r="I558" s="14"/>
      <c r="J558" s="14"/>
      <c r="L558" s="7"/>
    </row>
    <row r="559">
      <c r="B559" s="10"/>
      <c r="I559" s="14"/>
      <c r="J559" s="14"/>
      <c r="L559" s="7"/>
    </row>
    <row r="560">
      <c r="B560" s="10"/>
      <c r="I560" s="14"/>
      <c r="J560" s="14"/>
      <c r="L560" s="7"/>
    </row>
    <row r="561">
      <c r="B561" s="10"/>
      <c r="I561" s="14"/>
      <c r="J561" s="14"/>
      <c r="L561" s="7"/>
    </row>
    <row r="562">
      <c r="B562" s="10"/>
      <c r="I562" s="14"/>
      <c r="J562" s="14"/>
      <c r="L562" s="7"/>
    </row>
    <row r="563">
      <c r="B563" s="10"/>
      <c r="I563" s="14"/>
      <c r="J563" s="14"/>
      <c r="L563" s="7"/>
    </row>
    <row r="564">
      <c r="B564" s="10"/>
      <c r="I564" s="14"/>
      <c r="J564" s="14"/>
      <c r="L564" s="7"/>
    </row>
    <row r="565">
      <c r="B565" s="10"/>
      <c r="I565" s="14"/>
      <c r="J565" s="14"/>
      <c r="L565" s="7"/>
    </row>
    <row r="566">
      <c r="B566" s="10"/>
      <c r="I566" s="14"/>
      <c r="J566" s="14"/>
      <c r="L566" s="7"/>
    </row>
    <row r="567">
      <c r="B567" s="10"/>
      <c r="I567" s="14"/>
      <c r="J567" s="14"/>
      <c r="L567" s="7"/>
    </row>
    <row r="568">
      <c r="B568" s="10"/>
      <c r="I568" s="14"/>
      <c r="J568" s="14"/>
      <c r="L568" s="7"/>
    </row>
    <row r="569">
      <c r="B569" s="10"/>
      <c r="I569" s="14"/>
      <c r="J569" s="14"/>
      <c r="L569" s="7"/>
    </row>
    <row r="570">
      <c r="B570" s="10"/>
      <c r="I570" s="14"/>
      <c r="J570" s="14"/>
      <c r="L570" s="7"/>
    </row>
    <row r="571">
      <c r="B571" s="10"/>
      <c r="I571" s="14"/>
      <c r="J571" s="14"/>
      <c r="L571" s="7"/>
    </row>
    <row r="572">
      <c r="B572" s="10"/>
      <c r="I572" s="14"/>
      <c r="J572" s="14"/>
      <c r="L572" s="7"/>
    </row>
    <row r="573">
      <c r="B573" s="10"/>
      <c r="I573" s="14"/>
      <c r="J573" s="14"/>
      <c r="L573" s="7"/>
    </row>
    <row r="574">
      <c r="B574" s="10"/>
      <c r="I574" s="14"/>
      <c r="J574" s="14"/>
      <c r="L574" s="7"/>
    </row>
    <row r="575">
      <c r="B575" s="10"/>
      <c r="I575" s="14"/>
      <c r="J575" s="14"/>
      <c r="L575" s="7"/>
    </row>
    <row r="576">
      <c r="B576" s="10"/>
      <c r="I576" s="14"/>
      <c r="J576" s="14"/>
      <c r="L576" s="7"/>
    </row>
    <row r="577">
      <c r="B577" s="10"/>
      <c r="I577" s="14"/>
      <c r="J577" s="14"/>
      <c r="L577" s="7"/>
    </row>
    <row r="578">
      <c r="B578" s="10"/>
      <c r="I578" s="14"/>
      <c r="J578" s="14"/>
      <c r="L578" s="7"/>
    </row>
    <row r="579">
      <c r="B579" s="10"/>
      <c r="I579" s="14"/>
      <c r="J579" s="14"/>
      <c r="L579" s="7"/>
    </row>
    <row r="580">
      <c r="B580" s="10"/>
      <c r="I580" s="14"/>
      <c r="J580" s="14"/>
      <c r="L580" s="7"/>
    </row>
    <row r="581">
      <c r="B581" s="10"/>
      <c r="I581" s="14"/>
      <c r="J581" s="14"/>
      <c r="L581" s="7"/>
    </row>
    <row r="582">
      <c r="B582" s="10"/>
      <c r="I582" s="14"/>
      <c r="J582" s="14"/>
      <c r="L582" s="7"/>
    </row>
    <row r="583">
      <c r="B583" s="10"/>
      <c r="I583" s="14"/>
      <c r="J583" s="14"/>
      <c r="L583" s="7"/>
    </row>
    <row r="584">
      <c r="B584" s="10"/>
      <c r="I584" s="14"/>
      <c r="J584" s="14"/>
      <c r="L584" s="7"/>
    </row>
    <row r="585">
      <c r="B585" s="10"/>
      <c r="I585" s="14"/>
      <c r="J585" s="14"/>
      <c r="L585" s="7"/>
    </row>
    <row r="586">
      <c r="B586" s="10"/>
      <c r="I586" s="14"/>
      <c r="J586" s="14"/>
      <c r="L586" s="7"/>
    </row>
    <row r="587">
      <c r="B587" s="10"/>
      <c r="I587" s="14"/>
      <c r="J587" s="14"/>
      <c r="L587" s="7"/>
    </row>
    <row r="588">
      <c r="B588" s="10"/>
      <c r="I588" s="14"/>
      <c r="J588" s="14"/>
      <c r="L588" s="7"/>
    </row>
    <row r="589">
      <c r="B589" s="10"/>
      <c r="I589" s="14"/>
      <c r="J589" s="14"/>
      <c r="L589" s="7"/>
    </row>
    <row r="590">
      <c r="B590" s="10"/>
      <c r="I590" s="14"/>
      <c r="J590" s="14"/>
      <c r="L590" s="7"/>
    </row>
    <row r="591">
      <c r="B591" s="10"/>
      <c r="I591" s="14"/>
      <c r="J591" s="14"/>
      <c r="L591" s="7"/>
    </row>
    <row r="592">
      <c r="B592" s="10"/>
      <c r="I592" s="14"/>
      <c r="J592" s="14"/>
      <c r="L592" s="7"/>
    </row>
    <row r="593">
      <c r="B593" s="10"/>
      <c r="I593" s="14"/>
      <c r="J593" s="14"/>
      <c r="L593" s="7"/>
    </row>
    <row r="594">
      <c r="B594" s="10"/>
      <c r="I594" s="14"/>
      <c r="J594" s="14"/>
      <c r="L594" s="7"/>
    </row>
    <row r="595">
      <c r="B595" s="10"/>
      <c r="I595" s="14"/>
      <c r="J595" s="14"/>
      <c r="L595" s="7"/>
    </row>
    <row r="596">
      <c r="B596" s="10"/>
      <c r="I596" s="14"/>
      <c r="J596" s="14"/>
      <c r="L596" s="7"/>
    </row>
    <row r="597">
      <c r="B597" s="10"/>
      <c r="I597" s="14"/>
      <c r="J597" s="14"/>
      <c r="L597" s="7"/>
    </row>
    <row r="598">
      <c r="B598" s="10"/>
      <c r="I598" s="14"/>
      <c r="J598" s="14"/>
      <c r="L598" s="7"/>
    </row>
    <row r="599">
      <c r="B599" s="10"/>
      <c r="I599" s="14"/>
      <c r="J599" s="14"/>
      <c r="L599" s="7"/>
    </row>
    <row r="600">
      <c r="B600" s="10"/>
      <c r="I600" s="14"/>
      <c r="J600" s="14"/>
      <c r="L600" s="7"/>
    </row>
    <row r="601">
      <c r="B601" s="10"/>
      <c r="I601" s="14"/>
      <c r="J601" s="14"/>
      <c r="L601" s="7"/>
    </row>
    <row r="602">
      <c r="B602" s="10"/>
      <c r="I602" s="14"/>
      <c r="J602" s="14"/>
      <c r="L602" s="7"/>
    </row>
    <row r="603">
      <c r="B603" s="10"/>
      <c r="I603" s="14"/>
      <c r="J603" s="14"/>
      <c r="L603" s="7"/>
    </row>
    <row r="604">
      <c r="B604" s="10"/>
      <c r="I604" s="14"/>
      <c r="J604" s="14"/>
      <c r="L604" s="7"/>
    </row>
    <row r="605">
      <c r="B605" s="10"/>
      <c r="I605" s="14"/>
      <c r="J605" s="14"/>
      <c r="L605" s="7"/>
    </row>
    <row r="606">
      <c r="B606" s="10"/>
      <c r="I606" s="14"/>
      <c r="J606" s="14"/>
      <c r="L606" s="7"/>
    </row>
    <row r="607">
      <c r="B607" s="10"/>
      <c r="I607" s="14"/>
      <c r="J607" s="14"/>
      <c r="L607" s="7"/>
    </row>
    <row r="608">
      <c r="B608" s="10"/>
      <c r="I608" s="14"/>
      <c r="J608" s="14"/>
      <c r="L608" s="7"/>
    </row>
    <row r="609">
      <c r="B609" s="10"/>
      <c r="I609" s="14"/>
      <c r="J609" s="14"/>
      <c r="L609" s="7"/>
    </row>
    <row r="610">
      <c r="B610" s="10"/>
      <c r="I610" s="14"/>
      <c r="J610" s="14"/>
      <c r="L610" s="7"/>
    </row>
    <row r="611">
      <c r="B611" s="10"/>
      <c r="I611" s="14"/>
      <c r="J611" s="14"/>
      <c r="L611" s="7"/>
    </row>
    <row r="612">
      <c r="B612" s="10"/>
      <c r="I612" s="14"/>
      <c r="J612" s="14"/>
      <c r="L612" s="7"/>
    </row>
    <row r="613">
      <c r="B613" s="10"/>
      <c r="I613" s="14"/>
      <c r="J613" s="14"/>
      <c r="L613" s="7"/>
    </row>
    <row r="614">
      <c r="B614" s="10"/>
      <c r="I614" s="14"/>
      <c r="J614" s="14"/>
      <c r="L614" s="7"/>
    </row>
    <row r="615">
      <c r="B615" s="10"/>
      <c r="I615" s="14"/>
      <c r="J615" s="14"/>
      <c r="L615" s="7"/>
    </row>
    <row r="616">
      <c r="B616" s="10"/>
      <c r="I616" s="14"/>
      <c r="J616" s="14"/>
      <c r="L616" s="7"/>
    </row>
    <row r="617">
      <c r="B617" s="10"/>
      <c r="I617" s="14"/>
      <c r="J617" s="14"/>
      <c r="L617" s="7"/>
    </row>
    <row r="618">
      <c r="B618" s="10"/>
      <c r="I618" s="14"/>
      <c r="J618" s="14"/>
      <c r="L618" s="7"/>
    </row>
    <row r="619">
      <c r="B619" s="10"/>
      <c r="I619" s="14"/>
      <c r="J619" s="14"/>
      <c r="L619" s="7"/>
    </row>
    <row r="620">
      <c r="B620" s="10"/>
      <c r="I620" s="14"/>
      <c r="J620" s="14"/>
      <c r="L620" s="7"/>
    </row>
    <row r="621">
      <c r="B621" s="10"/>
      <c r="I621" s="14"/>
      <c r="J621" s="14"/>
      <c r="L621" s="7"/>
    </row>
    <row r="622">
      <c r="B622" s="10"/>
      <c r="I622" s="14"/>
      <c r="J622" s="14"/>
      <c r="L622" s="7"/>
    </row>
    <row r="623">
      <c r="B623" s="10"/>
      <c r="I623" s="14"/>
      <c r="J623" s="14"/>
      <c r="L623" s="7"/>
    </row>
    <row r="624">
      <c r="B624" s="10"/>
      <c r="I624" s="14"/>
      <c r="J624" s="14"/>
      <c r="L624" s="7"/>
    </row>
    <row r="625">
      <c r="B625" s="10"/>
      <c r="I625" s="14"/>
      <c r="J625" s="14"/>
      <c r="L625" s="7"/>
    </row>
    <row r="626">
      <c r="B626" s="10"/>
      <c r="I626" s="14"/>
      <c r="J626" s="14"/>
      <c r="L626" s="7"/>
    </row>
    <row r="627">
      <c r="B627" s="10"/>
      <c r="I627" s="14"/>
      <c r="J627" s="14"/>
      <c r="L627" s="7"/>
    </row>
    <row r="628">
      <c r="B628" s="10"/>
      <c r="I628" s="14"/>
      <c r="J628" s="14"/>
      <c r="L628" s="7"/>
    </row>
    <row r="629">
      <c r="B629" s="10"/>
      <c r="I629" s="14"/>
      <c r="J629" s="14"/>
      <c r="L629" s="7"/>
    </row>
    <row r="630">
      <c r="B630" s="10"/>
      <c r="I630" s="14"/>
      <c r="J630" s="14"/>
      <c r="L630" s="7"/>
    </row>
    <row r="631">
      <c r="B631" s="10"/>
      <c r="I631" s="14"/>
      <c r="J631" s="14"/>
      <c r="L631" s="7"/>
    </row>
    <row r="632">
      <c r="B632" s="10"/>
      <c r="I632" s="14"/>
      <c r="J632" s="14"/>
      <c r="L632" s="7"/>
    </row>
    <row r="633">
      <c r="B633" s="10"/>
      <c r="I633" s="14"/>
      <c r="J633" s="14"/>
      <c r="L633" s="7"/>
    </row>
    <row r="634">
      <c r="B634" s="10"/>
      <c r="I634" s="14"/>
      <c r="J634" s="14"/>
      <c r="L634" s="7"/>
    </row>
    <row r="635">
      <c r="B635" s="10"/>
      <c r="I635" s="14"/>
      <c r="J635" s="14"/>
      <c r="L635" s="7"/>
    </row>
    <row r="636">
      <c r="B636" s="10"/>
      <c r="I636" s="14"/>
      <c r="J636" s="14"/>
      <c r="L636" s="7"/>
    </row>
    <row r="637">
      <c r="B637" s="10"/>
      <c r="I637" s="14"/>
      <c r="J637" s="14"/>
      <c r="L637" s="7"/>
    </row>
    <row r="638">
      <c r="B638" s="10"/>
      <c r="I638" s="14"/>
      <c r="J638" s="14"/>
      <c r="L638" s="7"/>
    </row>
    <row r="639">
      <c r="B639" s="10"/>
      <c r="I639" s="14"/>
      <c r="J639" s="14"/>
      <c r="L639" s="7"/>
    </row>
    <row r="640">
      <c r="B640" s="10"/>
      <c r="I640" s="14"/>
      <c r="J640" s="14"/>
      <c r="L640" s="7"/>
    </row>
    <row r="641">
      <c r="B641" s="10"/>
      <c r="I641" s="14"/>
      <c r="J641" s="14"/>
      <c r="L641" s="7"/>
    </row>
    <row r="642">
      <c r="B642" s="10"/>
      <c r="I642" s="14"/>
      <c r="J642" s="14"/>
      <c r="L642" s="7"/>
    </row>
    <row r="643">
      <c r="B643" s="10"/>
      <c r="I643" s="14"/>
      <c r="J643" s="14"/>
      <c r="L643" s="7"/>
    </row>
    <row r="644">
      <c r="B644" s="10"/>
      <c r="I644" s="14"/>
      <c r="J644" s="14"/>
      <c r="L644" s="7"/>
    </row>
    <row r="645">
      <c r="B645" s="10"/>
      <c r="I645" s="14"/>
      <c r="J645" s="14"/>
      <c r="L645" s="7"/>
    </row>
    <row r="646">
      <c r="B646" s="10"/>
      <c r="I646" s="14"/>
      <c r="J646" s="14"/>
      <c r="L646" s="7"/>
    </row>
    <row r="647">
      <c r="B647" s="10"/>
      <c r="I647" s="14"/>
      <c r="J647" s="14"/>
      <c r="L647" s="7"/>
    </row>
    <row r="648">
      <c r="B648" s="10"/>
      <c r="I648" s="14"/>
      <c r="J648" s="14"/>
      <c r="L648" s="7"/>
    </row>
    <row r="649">
      <c r="B649" s="10"/>
      <c r="I649" s="14"/>
      <c r="J649" s="14"/>
      <c r="L649" s="7"/>
    </row>
    <row r="650">
      <c r="B650" s="10"/>
      <c r="I650" s="14"/>
      <c r="J650" s="14"/>
      <c r="L650" s="7"/>
    </row>
    <row r="651">
      <c r="B651" s="10"/>
      <c r="I651" s="14"/>
      <c r="J651" s="14"/>
      <c r="L651" s="7"/>
    </row>
    <row r="652">
      <c r="B652" s="10"/>
      <c r="I652" s="14"/>
      <c r="J652" s="14"/>
      <c r="L652" s="7"/>
    </row>
    <row r="653">
      <c r="B653" s="10"/>
      <c r="I653" s="14"/>
      <c r="J653" s="14"/>
      <c r="L653" s="7"/>
    </row>
    <row r="654">
      <c r="B654" s="10"/>
      <c r="I654" s="14"/>
      <c r="J654" s="14"/>
      <c r="L654" s="7"/>
    </row>
    <row r="655">
      <c r="B655" s="10"/>
      <c r="I655" s="14"/>
      <c r="J655" s="14"/>
      <c r="L655" s="7"/>
    </row>
    <row r="656">
      <c r="B656" s="10"/>
      <c r="I656" s="14"/>
      <c r="J656" s="14"/>
      <c r="L656" s="7"/>
    </row>
    <row r="657">
      <c r="B657" s="10"/>
      <c r="I657" s="14"/>
      <c r="J657" s="14"/>
      <c r="L657" s="7"/>
    </row>
    <row r="658">
      <c r="B658" s="10"/>
      <c r="I658" s="14"/>
      <c r="J658" s="14"/>
      <c r="L658" s="7"/>
    </row>
    <row r="659">
      <c r="B659" s="10"/>
      <c r="I659" s="14"/>
      <c r="J659" s="14"/>
      <c r="L659" s="7"/>
    </row>
    <row r="660">
      <c r="B660" s="10"/>
      <c r="I660" s="14"/>
      <c r="J660" s="14"/>
      <c r="L660" s="7"/>
    </row>
    <row r="661">
      <c r="B661" s="10"/>
      <c r="I661" s="14"/>
      <c r="J661" s="14"/>
      <c r="L661" s="7"/>
    </row>
    <row r="662">
      <c r="B662" s="10"/>
      <c r="I662" s="14"/>
      <c r="J662" s="14"/>
      <c r="L662" s="7"/>
    </row>
    <row r="663">
      <c r="B663" s="10"/>
      <c r="I663" s="14"/>
      <c r="J663" s="14"/>
      <c r="L663" s="7"/>
    </row>
    <row r="664">
      <c r="B664" s="10"/>
      <c r="I664" s="14"/>
      <c r="J664" s="14"/>
      <c r="L664" s="7"/>
    </row>
    <row r="665">
      <c r="B665" s="10"/>
      <c r="I665" s="14"/>
      <c r="J665" s="14"/>
      <c r="L665" s="7"/>
    </row>
    <row r="666">
      <c r="B666" s="10"/>
      <c r="I666" s="14"/>
      <c r="J666" s="14"/>
      <c r="L666" s="7"/>
    </row>
    <row r="667">
      <c r="B667" s="10"/>
      <c r="I667" s="14"/>
      <c r="J667" s="14"/>
      <c r="L667" s="7"/>
    </row>
    <row r="668">
      <c r="B668" s="10"/>
      <c r="I668" s="14"/>
      <c r="J668" s="14"/>
      <c r="L668" s="7"/>
    </row>
    <row r="669">
      <c r="B669" s="10"/>
      <c r="I669" s="14"/>
      <c r="J669" s="14"/>
      <c r="L669" s="7"/>
    </row>
    <row r="670">
      <c r="B670" s="10"/>
      <c r="I670" s="14"/>
      <c r="J670" s="14"/>
      <c r="L670" s="7"/>
    </row>
    <row r="671">
      <c r="B671" s="10"/>
      <c r="I671" s="14"/>
      <c r="J671" s="14"/>
      <c r="L671" s="7"/>
    </row>
    <row r="672">
      <c r="B672" s="10"/>
      <c r="I672" s="14"/>
      <c r="J672" s="14"/>
      <c r="L672" s="7"/>
    </row>
    <row r="673">
      <c r="B673" s="10"/>
      <c r="I673" s="14"/>
      <c r="J673" s="14"/>
      <c r="L673" s="7"/>
    </row>
    <row r="674">
      <c r="B674" s="10"/>
      <c r="I674" s="14"/>
      <c r="J674" s="14"/>
      <c r="L674" s="7"/>
    </row>
    <row r="675">
      <c r="B675" s="10"/>
      <c r="I675" s="14"/>
      <c r="J675" s="14"/>
      <c r="L675" s="7"/>
    </row>
    <row r="676">
      <c r="B676" s="10"/>
      <c r="I676" s="14"/>
      <c r="J676" s="14"/>
      <c r="L676" s="7"/>
    </row>
    <row r="677">
      <c r="B677" s="10"/>
      <c r="I677" s="14"/>
      <c r="J677" s="14"/>
      <c r="L677" s="7"/>
    </row>
    <row r="678">
      <c r="B678" s="10"/>
      <c r="I678" s="14"/>
      <c r="J678" s="14"/>
      <c r="L678" s="7"/>
    </row>
    <row r="679">
      <c r="B679" s="10"/>
      <c r="I679" s="14"/>
      <c r="J679" s="14"/>
      <c r="L679" s="7"/>
    </row>
    <row r="680">
      <c r="B680" s="10"/>
      <c r="I680" s="14"/>
      <c r="J680" s="14"/>
      <c r="L680" s="7"/>
    </row>
    <row r="681">
      <c r="B681" s="10"/>
      <c r="I681" s="14"/>
      <c r="J681" s="14"/>
      <c r="L681" s="7"/>
    </row>
    <row r="682">
      <c r="B682" s="10"/>
      <c r="I682" s="14"/>
      <c r="J682" s="14"/>
      <c r="L682" s="7"/>
    </row>
    <row r="683">
      <c r="B683" s="10"/>
      <c r="I683" s="14"/>
      <c r="J683" s="14"/>
      <c r="L683" s="7"/>
    </row>
    <row r="684">
      <c r="B684" s="10"/>
      <c r="I684" s="14"/>
      <c r="J684" s="14"/>
      <c r="L684" s="7"/>
    </row>
    <row r="685">
      <c r="B685" s="10"/>
      <c r="I685" s="14"/>
      <c r="J685" s="14"/>
      <c r="L685" s="7"/>
    </row>
    <row r="686">
      <c r="B686" s="10"/>
      <c r="I686" s="14"/>
      <c r="J686" s="14"/>
      <c r="L686" s="7"/>
    </row>
    <row r="687">
      <c r="B687" s="10"/>
      <c r="I687" s="14"/>
      <c r="J687" s="14"/>
      <c r="L687" s="7"/>
    </row>
    <row r="688">
      <c r="B688" s="10"/>
      <c r="I688" s="14"/>
      <c r="J688" s="14"/>
      <c r="L688" s="7"/>
    </row>
    <row r="689">
      <c r="B689" s="10"/>
      <c r="I689" s="14"/>
      <c r="J689" s="14"/>
      <c r="L689" s="7"/>
    </row>
    <row r="690">
      <c r="B690" s="10"/>
      <c r="I690" s="14"/>
      <c r="J690" s="14"/>
      <c r="L690" s="7"/>
    </row>
    <row r="691">
      <c r="B691" s="10"/>
      <c r="I691" s="14"/>
      <c r="J691" s="14"/>
      <c r="L691" s="7"/>
    </row>
    <row r="692">
      <c r="B692" s="10"/>
      <c r="I692" s="14"/>
      <c r="J692" s="14"/>
      <c r="L692" s="7"/>
    </row>
    <row r="693">
      <c r="B693" s="10"/>
      <c r="I693" s="14"/>
      <c r="J693" s="14"/>
      <c r="L693" s="7"/>
    </row>
    <row r="694">
      <c r="B694" s="10"/>
      <c r="I694" s="14"/>
      <c r="J694" s="14"/>
      <c r="L694" s="7"/>
    </row>
    <row r="695">
      <c r="B695" s="10"/>
      <c r="I695" s="14"/>
      <c r="J695" s="14"/>
      <c r="L695" s="7"/>
    </row>
    <row r="696">
      <c r="B696" s="10"/>
      <c r="I696" s="14"/>
      <c r="J696" s="14"/>
      <c r="L696" s="7"/>
    </row>
    <row r="697">
      <c r="B697" s="10"/>
      <c r="I697" s="14"/>
      <c r="J697" s="14"/>
      <c r="L697" s="7"/>
    </row>
    <row r="698">
      <c r="B698" s="10"/>
      <c r="I698" s="14"/>
      <c r="J698" s="14"/>
      <c r="L698" s="7"/>
    </row>
    <row r="699">
      <c r="B699" s="10"/>
      <c r="I699" s="14"/>
      <c r="J699" s="14"/>
      <c r="L699" s="7"/>
    </row>
    <row r="700">
      <c r="B700" s="10"/>
      <c r="I700" s="14"/>
      <c r="J700" s="14"/>
      <c r="L700" s="7"/>
    </row>
    <row r="701">
      <c r="B701" s="10"/>
      <c r="I701" s="14"/>
      <c r="J701" s="14"/>
      <c r="L701" s="7"/>
    </row>
    <row r="702">
      <c r="B702" s="10"/>
      <c r="I702" s="14"/>
      <c r="J702" s="14"/>
      <c r="L702" s="7"/>
    </row>
    <row r="703">
      <c r="B703" s="10"/>
      <c r="I703" s="14"/>
      <c r="J703" s="14"/>
      <c r="L703" s="7"/>
    </row>
    <row r="704">
      <c r="B704" s="10"/>
      <c r="I704" s="14"/>
      <c r="J704" s="14"/>
      <c r="L704" s="7"/>
    </row>
    <row r="705">
      <c r="B705" s="10"/>
      <c r="I705" s="14"/>
      <c r="J705" s="14"/>
      <c r="L705" s="7"/>
    </row>
    <row r="706">
      <c r="B706" s="10"/>
      <c r="I706" s="14"/>
      <c r="J706" s="14"/>
      <c r="L706" s="7"/>
    </row>
    <row r="707">
      <c r="B707" s="10"/>
      <c r="I707" s="14"/>
      <c r="J707" s="14"/>
      <c r="L707" s="7"/>
    </row>
    <row r="708">
      <c r="B708" s="10"/>
      <c r="I708" s="14"/>
      <c r="J708" s="14"/>
      <c r="L708" s="7"/>
    </row>
    <row r="709">
      <c r="B709" s="10"/>
      <c r="I709" s="14"/>
      <c r="J709" s="14"/>
      <c r="L709" s="7"/>
    </row>
    <row r="710">
      <c r="B710" s="10"/>
      <c r="I710" s="14"/>
      <c r="J710" s="14"/>
      <c r="L710" s="7"/>
    </row>
    <row r="711">
      <c r="B711" s="10"/>
      <c r="I711" s="14"/>
      <c r="J711" s="14"/>
      <c r="L711" s="7"/>
    </row>
    <row r="712">
      <c r="B712" s="10"/>
      <c r="I712" s="14"/>
      <c r="J712" s="14"/>
      <c r="L712" s="7"/>
    </row>
    <row r="713">
      <c r="B713" s="10"/>
      <c r="I713" s="14"/>
      <c r="J713" s="14"/>
      <c r="L713" s="7"/>
    </row>
    <row r="714">
      <c r="B714" s="10"/>
      <c r="I714" s="14"/>
      <c r="J714" s="14"/>
      <c r="L714" s="7"/>
    </row>
    <row r="715">
      <c r="B715" s="10"/>
      <c r="I715" s="14"/>
      <c r="J715" s="14"/>
      <c r="L715" s="7"/>
    </row>
    <row r="716">
      <c r="B716" s="10"/>
      <c r="I716" s="14"/>
      <c r="J716" s="14"/>
      <c r="L716" s="7"/>
    </row>
    <row r="717">
      <c r="B717" s="10"/>
      <c r="I717" s="14"/>
      <c r="J717" s="14"/>
      <c r="L717" s="7"/>
    </row>
    <row r="718">
      <c r="B718" s="10"/>
      <c r="I718" s="14"/>
      <c r="J718" s="14"/>
      <c r="L718" s="7"/>
    </row>
    <row r="719">
      <c r="B719" s="10"/>
      <c r="I719" s="14"/>
      <c r="J719" s="14"/>
      <c r="L719" s="7"/>
    </row>
    <row r="720">
      <c r="B720" s="10"/>
      <c r="I720" s="14"/>
      <c r="J720" s="14"/>
      <c r="L720" s="7"/>
    </row>
    <row r="721">
      <c r="B721" s="10"/>
      <c r="I721" s="14"/>
      <c r="J721" s="14"/>
      <c r="L721" s="7"/>
    </row>
    <row r="722">
      <c r="B722" s="10"/>
      <c r="I722" s="14"/>
      <c r="J722" s="14"/>
      <c r="L722" s="7"/>
    </row>
    <row r="723">
      <c r="B723" s="10"/>
      <c r="I723" s="14"/>
      <c r="J723" s="14"/>
      <c r="L723" s="7"/>
    </row>
    <row r="724">
      <c r="B724" s="10"/>
      <c r="I724" s="14"/>
      <c r="J724" s="14"/>
      <c r="L724" s="7"/>
    </row>
    <row r="725">
      <c r="B725" s="10"/>
      <c r="I725" s="14"/>
      <c r="J725" s="14"/>
      <c r="L725" s="7"/>
    </row>
    <row r="726">
      <c r="B726" s="10"/>
      <c r="I726" s="14"/>
      <c r="J726" s="14"/>
      <c r="L726" s="7"/>
    </row>
    <row r="727">
      <c r="B727" s="10"/>
      <c r="I727" s="14"/>
      <c r="J727" s="14"/>
      <c r="L727" s="7"/>
    </row>
    <row r="728">
      <c r="B728" s="10"/>
      <c r="I728" s="14"/>
      <c r="J728" s="14"/>
      <c r="L728" s="7"/>
    </row>
    <row r="729">
      <c r="B729" s="10"/>
      <c r="I729" s="14"/>
      <c r="J729" s="14"/>
      <c r="L729" s="7"/>
    </row>
    <row r="730">
      <c r="B730" s="10"/>
      <c r="I730" s="14"/>
      <c r="J730" s="14"/>
      <c r="L730" s="7"/>
    </row>
    <row r="731">
      <c r="B731" s="10"/>
      <c r="I731" s="14"/>
      <c r="J731" s="14"/>
      <c r="L731" s="7"/>
    </row>
    <row r="732">
      <c r="B732" s="10"/>
      <c r="I732" s="14"/>
      <c r="J732" s="14"/>
      <c r="L732" s="7"/>
    </row>
    <row r="733">
      <c r="B733" s="10"/>
      <c r="I733" s="14"/>
      <c r="J733" s="14"/>
      <c r="L733" s="7"/>
    </row>
    <row r="734">
      <c r="B734" s="10"/>
      <c r="I734" s="14"/>
      <c r="J734" s="14"/>
      <c r="L734" s="7"/>
    </row>
    <row r="735">
      <c r="B735" s="10"/>
      <c r="I735" s="14"/>
      <c r="J735" s="14"/>
      <c r="L735" s="7"/>
    </row>
    <row r="736">
      <c r="B736" s="10"/>
      <c r="I736" s="14"/>
      <c r="J736" s="14"/>
      <c r="L736" s="7"/>
    </row>
    <row r="737">
      <c r="B737" s="10"/>
      <c r="I737" s="14"/>
      <c r="J737" s="14"/>
      <c r="L737" s="7"/>
    </row>
    <row r="738">
      <c r="B738" s="10"/>
      <c r="I738" s="14"/>
      <c r="J738" s="14"/>
      <c r="L738" s="7"/>
    </row>
    <row r="739">
      <c r="B739" s="10"/>
      <c r="I739" s="14"/>
      <c r="J739" s="14"/>
      <c r="L739" s="7"/>
    </row>
    <row r="740">
      <c r="B740" s="10"/>
      <c r="I740" s="14"/>
      <c r="J740" s="14"/>
      <c r="L740" s="7"/>
    </row>
    <row r="741">
      <c r="B741" s="10"/>
      <c r="I741" s="14"/>
      <c r="J741" s="14"/>
      <c r="L741" s="7"/>
    </row>
    <row r="742">
      <c r="B742" s="10"/>
      <c r="I742" s="14"/>
      <c r="J742" s="14"/>
      <c r="L742" s="7"/>
    </row>
    <row r="743">
      <c r="B743" s="10"/>
      <c r="I743" s="14"/>
      <c r="J743" s="14"/>
      <c r="L743" s="7"/>
    </row>
    <row r="744">
      <c r="B744" s="10"/>
      <c r="I744" s="14"/>
      <c r="J744" s="14"/>
      <c r="L744" s="7"/>
    </row>
    <row r="745">
      <c r="B745" s="10"/>
      <c r="I745" s="14"/>
      <c r="J745" s="14"/>
      <c r="L745" s="7"/>
    </row>
    <row r="746">
      <c r="B746" s="10"/>
      <c r="I746" s="14"/>
      <c r="J746" s="14"/>
      <c r="L746" s="7"/>
    </row>
    <row r="747">
      <c r="B747" s="10"/>
      <c r="I747" s="14"/>
      <c r="J747" s="14"/>
      <c r="L747" s="7"/>
    </row>
    <row r="748">
      <c r="B748" s="10"/>
      <c r="I748" s="14"/>
      <c r="J748" s="14"/>
      <c r="L748" s="7"/>
    </row>
    <row r="749">
      <c r="B749" s="10"/>
      <c r="I749" s="14"/>
      <c r="J749" s="14"/>
      <c r="L749" s="7"/>
    </row>
    <row r="750">
      <c r="B750" s="10"/>
      <c r="I750" s="14"/>
      <c r="J750" s="14"/>
      <c r="L750" s="7"/>
    </row>
    <row r="751">
      <c r="B751" s="10"/>
      <c r="I751" s="14"/>
      <c r="J751" s="14"/>
      <c r="L751" s="7"/>
    </row>
    <row r="752">
      <c r="B752" s="10"/>
      <c r="I752" s="14"/>
      <c r="J752" s="14"/>
      <c r="L752" s="7"/>
    </row>
    <row r="753">
      <c r="B753" s="10"/>
      <c r="I753" s="14"/>
      <c r="J753" s="14"/>
      <c r="L753" s="7"/>
    </row>
    <row r="754">
      <c r="B754" s="10"/>
      <c r="I754" s="14"/>
      <c r="J754" s="14"/>
      <c r="L754" s="7"/>
    </row>
    <row r="755">
      <c r="B755" s="10"/>
      <c r="I755" s="14"/>
      <c r="J755" s="14"/>
      <c r="L755" s="7"/>
    </row>
    <row r="756">
      <c r="B756" s="10"/>
      <c r="I756" s="14"/>
      <c r="J756" s="14"/>
      <c r="L756" s="7"/>
    </row>
    <row r="757">
      <c r="B757" s="10"/>
      <c r="I757" s="14"/>
      <c r="J757" s="14"/>
      <c r="L757" s="7"/>
    </row>
    <row r="758">
      <c r="B758" s="10"/>
      <c r="I758" s="14"/>
      <c r="J758" s="14"/>
      <c r="L758" s="7"/>
    </row>
    <row r="759">
      <c r="B759" s="10"/>
      <c r="I759" s="14"/>
      <c r="J759" s="14"/>
      <c r="L759" s="7"/>
    </row>
    <row r="760">
      <c r="B760" s="10"/>
      <c r="I760" s="14"/>
      <c r="J760" s="14"/>
      <c r="L760" s="7"/>
    </row>
    <row r="761">
      <c r="B761" s="10"/>
      <c r="I761" s="14"/>
      <c r="J761" s="14"/>
      <c r="L761" s="7"/>
    </row>
    <row r="762">
      <c r="B762" s="10"/>
      <c r="I762" s="14"/>
      <c r="J762" s="14"/>
      <c r="L762" s="7"/>
    </row>
    <row r="763">
      <c r="B763" s="10"/>
      <c r="I763" s="14"/>
      <c r="J763" s="14"/>
      <c r="L763" s="7"/>
    </row>
    <row r="764">
      <c r="B764" s="10"/>
      <c r="I764" s="14"/>
      <c r="J764" s="14"/>
      <c r="L764" s="7"/>
    </row>
    <row r="765">
      <c r="B765" s="10"/>
      <c r="I765" s="14"/>
      <c r="J765" s="14"/>
      <c r="L765" s="7"/>
    </row>
    <row r="766">
      <c r="B766" s="10"/>
      <c r="I766" s="14"/>
      <c r="J766" s="14"/>
      <c r="L766" s="7"/>
    </row>
    <row r="767">
      <c r="B767" s="10"/>
      <c r="I767" s="14"/>
      <c r="J767" s="14"/>
      <c r="L767" s="7"/>
    </row>
    <row r="768">
      <c r="B768" s="10"/>
      <c r="I768" s="14"/>
      <c r="J768" s="14"/>
      <c r="L768" s="7"/>
    </row>
    <row r="769">
      <c r="B769" s="10"/>
      <c r="I769" s="14"/>
      <c r="J769" s="14"/>
      <c r="L769" s="7"/>
    </row>
    <row r="770">
      <c r="B770" s="10"/>
      <c r="I770" s="14"/>
      <c r="J770" s="14"/>
      <c r="L770" s="7"/>
    </row>
    <row r="771">
      <c r="B771" s="10"/>
      <c r="I771" s="14"/>
      <c r="J771" s="14"/>
      <c r="L771" s="7"/>
    </row>
    <row r="772">
      <c r="B772" s="10"/>
      <c r="I772" s="14"/>
      <c r="J772" s="14"/>
      <c r="L772" s="7"/>
    </row>
    <row r="773">
      <c r="B773" s="10"/>
      <c r="I773" s="14"/>
      <c r="J773" s="14"/>
      <c r="L773" s="7"/>
    </row>
    <row r="774">
      <c r="B774" s="10"/>
      <c r="I774" s="14"/>
      <c r="J774" s="14"/>
      <c r="L774" s="7"/>
    </row>
    <row r="775">
      <c r="B775" s="10"/>
      <c r="I775" s="14"/>
      <c r="J775" s="14"/>
      <c r="L775" s="7"/>
    </row>
    <row r="776">
      <c r="B776" s="10"/>
      <c r="I776" s="14"/>
      <c r="J776" s="14"/>
      <c r="L776" s="7"/>
    </row>
    <row r="777">
      <c r="B777" s="10"/>
      <c r="I777" s="14"/>
      <c r="J777" s="14"/>
      <c r="L777" s="7"/>
    </row>
    <row r="778">
      <c r="B778" s="10"/>
      <c r="I778" s="14"/>
      <c r="J778" s="14"/>
      <c r="L778" s="7"/>
    </row>
    <row r="779">
      <c r="B779" s="10"/>
      <c r="I779" s="14"/>
      <c r="J779" s="14"/>
      <c r="L779" s="7"/>
    </row>
    <row r="780">
      <c r="B780" s="10"/>
      <c r="I780" s="14"/>
      <c r="J780" s="14"/>
      <c r="L780" s="7"/>
    </row>
    <row r="781">
      <c r="B781" s="10"/>
      <c r="I781" s="14"/>
      <c r="J781" s="14"/>
      <c r="L781" s="7"/>
    </row>
    <row r="782">
      <c r="B782" s="10"/>
      <c r="I782" s="14"/>
      <c r="J782" s="14"/>
      <c r="L782" s="7"/>
    </row>
    <row r="783">
      <c r="B783" s="10"/>
      <c r="I783" s="14"/>
      <c r="J783" s="14"/>
      <c r="L783" s="7"/>
    </row>
    <row r="784">
      <c r="B784" s="10"/>
      <c r="I784" s="14"/>
      <c r="J784" s="14"/>
      <c r="L784" s="7"/>
    </row>
    <row r="785">
      <c r="B785" s="10"/>
      <c r="I785" s="14"/>
      <c r="J785" s="14"/>
      <c r="L785" s="7"/>
    </row>
    <row r="786">
      <c r="B786" s="10"/>
      <c r="I786" s="14"/>
      <c r="J786" s="14"/>
      <c r="L786" s="7"/>
    </row>
    <row r="787">
      <c r="B787" s="10"/>
      <c r="I787" s="14"/>
      <c r="J787" s="14"/>
      <c r="L787" s="7"/>
    </row>
    <row r="788">
      <c r="B788" s="10"/>
      <c r="I788" s="14"/>
      <c r="J788" s="14"/>
      <c r="L788" s="7"/>
    </row>
    <row r="789">
      <c r="B789" s="10"/>
      <c r="I789" s="14"/>
      <c r="J789" s="14"/>
      <c r="L789" s="7"/>
    </row>
    <row r="790">
      <c r="B790" s="10"/>
      <c r="I790" s="14"/>
      <c r="J790" s="14"/>
      <c r="L790" s="7"/>
    </row>
    <row r="791">
      <c r="B791" s="10"/>
      <c r="I791" s="14"/>
      <c r="J791" s="14"/>
      <c r="L791" s="7"/>
    </row>
    <row r="792">
      <c r="B792" s="10"/>
      <c r="I792" s="14"/>
      <c r="J792" s="14"/>
      <c r="L792" s="7"/>
    </row>
    <row r="793">
      <c r="B793" s="10"/>
      <c r="I793" s="14"/>
      <c r="J793" s="14"/>
      <c r="L793" s="7"/>
    </row>
    <row r="794">
      <c r="B794" s="10"/>
      <c r="I794" s="14"/>
      <c r="J794" s="14"/>
      <c r="L794" s="7"/>
    </row>
    <row r="795">
      <c r="B795" s="10"/>
      <c r="I795" s="14"/>
      <c r="J795" s="14"/>
      <c r="L795" s="7"/>
    </row>
    <row r="796">
      <c r="B796" s="10"/>
      <c r="I796" s="14"/>
      <c r="J796" s="14"/>
      <c r="L796" s="7"/>
    </row>
    <row r="797">
      <c r="B797" s="10"/>
      <c r="I797" s="14"/>
      <c r="J797" s="14"/>
      <c r="L797" s="7"/>
    </row>
    <row r="798">
      <c r="B798" s="10"/>
      <c r="I798" s="14"/>
      <c r="J798" s="14"/>
      <c r="L798" s="7"/>
    </row>
    <row r="799">
      <c r="B799" s="10"/>
      <c r="I799" s="14"/>
      <c r="J799" s="14"/>
      <c r="L799" s="7"/>
    </row>
    <row r="800">
      <c r="B800" s="10"/>
      <c r="I800" s="14"/>
      <c r="J800" s="14"/>
      <c r="L800" s="7"/>
    </row>
    <row r="801">
      <c r="B801" s="10"/>
      <c r="I801" s="14"/>
      <c r="J801" s="14"/>
      <c r="L801" s="7"/>
    </row>
    <row r="802">
      <c r="B802" s="10"/>
      <c r="I802" s="14"/>
      <c r="J802" s="14"/>
      <c r="L802" s="7"/>
    </row>
    <row r="803">
      <c r="B803" s="10"/>
      <c r="I803" s="14"/>
      <c r="J803" s="14"/>
      <c r="L803" s="7"/>
    </row>
    <row r="804">
      <c r="B804" s="10"/>
      <c r="I804" s="14"/>
      <c r="J804" s="14"/>
      <c r="L804" s="7"/>
    </row>
    <row r="805">
      <c r="B805" s="10"/>
      <c r="I805" s="14"/>
      <c r="J805" s="14"/>
      <c r="L805" s="7"/>
    </row>
    <row r="806">
      <c r="B806" s="10"/>
      <c r="I806" s="14"/>
      <c r="J806" s="14"/>
      <c r="L806" s="7"/>
    </row>
    <row r="807">
      <c r="B807" s="10"/>
      <c r="I807" s="14"/>
      <c r="J807" s="14"/>
      <c r="L807" s="7"/>
    </row>
    <row r="808">
      <c r="B808" s="10"/>
      <c r="I808" s="14"/>
      <c r="J808" s="14"/>
      <c r="L808" s="7"/>
    </row>
    <row r="809">
      <c r="B809" s="10"/>
      <c r="I809" s="14"/>
      <c r="J809" s="14"/>
      <c r="L809" s="7"/>
    </row>
    <row r="810">
      <c r="B810" s="10"/>
      <c r="I810" s="14"/>
      <c r="J810" s="14"/>
      <c r="L810" s="7"/>
    </row>
    <row r="811">
      <c r="B811" s="10"/>
      <c r="I811" s="14"/>
      <c r="J811" s="14"/>
      <c r="L811" s="7"/>
    </row>
    <row r="812">
      <c r="B812" s="10"/>
      <c r="I812" s="14"/>
      <c r="J812" s="14"/>
      <c r="L812" s="7"/>
    </row>
    <row r="813">
      <c r="B813" s="10"/>
      <c r="I813" s="14"/>
      <c r="J813" s="14"/>
      <c r="L813" s="7"/>
    </row>
    <row r="814">
      <c r="B814" s="10"/>
      <c r="I814" s="14"/>
      <c r="J814" s="14"/>
      <c r="L814" s="7"/>
    </row>
    <row r="815">
      <c r="B815" s="10"/>
      <c r="I815" s="14"/>
      <c r="J815" s="14"/>
      <c r="L815" s="7"/>
    </row>
    <row r="816">
      <c r="B816" s="10"/>
      <c r="I816" s="14"/>
      <c r="J816" s="14"/>
      <c r="L816" s="7"/>
    </row>
    <row r="817">
      <c r="B817" s="10"/>
      <c r="I817" s="14"/>
      <c r="J817" s="14"/>
      <c r="L817" s="7"/>
    </row>
    <row r="818">
      <c r="B818" s="10"/>
      <c r="I818" s="14"/>
      <c r="J818" s="14"/>
      <c r="L818" s="7"/>
    </row>
    <row r="819">
      <c r="B819" s="10"/>
      <c r="I819" s="14"/>
      <c r="J819" s="14"/>
      <c r="L819" s="7"/>
    </row>
    <row r="820">
      <c r="B820" s="10"/>
      <c r="I820" s="14"/>
      <c r="J820" s="14"/>
      <c r="L820" s="7"/>
    </row>
    <row r="821">
      <c r="B821" s="10"/>
      <c r="I821" s="14"/>
      <c r="J821" s="14"/>
      <c r="L821" s="7"/>
    </row>
    <row r="822">
      <c r="B822" s="10"/>
      <c r="I822" s="14"/>
      <c r="J822" s="14"/>
      <c r="L822" s="7"/>
    </row>
    <row r="823">
      <c r="B823" s="10"/>
      <c r="I823" s="14"/>
      <c r="J823" s="14"/>
      <c r="L823" s="7"/>
    </row>
    <row r="824">
      <c r="B824" s="10"/>
      <c r="I824" s="14"/>
      <c r="J824" s="14"/>
      <c r="L824" s="7"/>
    </row>
    <row r="825">
      <c r="B825" s="10"/>
      <c r="I825" s="14"/>
      <c r="J825" s="14"/>
      <c r="L825" s="7"/>
    </row>
    <row r="826">
      <c r="B826" s="10"/>
      <c r="I826" s="14"/>
      <c r="J826" s="14"/>
      <c r="L826" s="7"/>
    </row>
    <row r="827">
      <c r="B827" s="10"/>
      <c r="I827" s="14"/>
      <c r="J827" s="14"/>
      <c r="L827" s="7"/>
    </row>
    <row r="828">
      <c r="B828" s="10"/>
      <c r="I828" s="14"/>
      <c r="J828" s="14"/>
      <c r="L828" s="7"/>
    </row>
    <row r="829">
      <c r="B829" s="10"/>
      <c r="I829" s="14"/>
      <c r="J829" s="14"/>
      <c r="L829" s="7"/>
    </row>
    <row r="830">
      <c r="B830" s="10"/>
      <c r="I830" s="14"/>
      <c r="J830" s="14"/>
      <c r="L830" s="7"/>
    </row>
    <row r="831">
      <c r="B831" s="10"/>
      <c r="I831" s="14"/>
      <c r="J831" s="14"/>
      <c r="L831" s="7"/>
    </row>
    <row r="832">
      <c r="B832" s="10"/>
      <c r="I832" s="14"/>
      <c r="J832" s="14"/>
      <c r="L832" s="7"/>
    </row>
    <row r="833">
      <c r="B833" s="10"/>
      <c r="I833" s="14"/>
      <c r="J833" s="14"/>
      <c r="L833" s="7"/>
    </row>
    <row r="834">
      <c r="B834" s="10"/>
      <c r="I834" s="14"/>
      <c r="J834" s="14"/>
      <c r="L834" s="7"/>
    </row>
    <row r="835">
      <c r="B835" s="10"/>
      <c r="I835" s="14"/>
      <c r="J835" s="14"/>
      <c r="L835" s="7"/>
    </row>
    <row r="836">
      <c r="B836" s="10"/>
      <c r="I836" s="14"/>
      <c r="J836" s="14"/>
      <c r="L836" s="7"/>
    </row>
    <row r="837">
      <c r="B837" s="10"/>
      <c r="I837" s="14"/>
      <c r="J837" s="14"/>
      <c r="L837" s="7"/>
    </row>
    <row r="838">
      <c r="B838" s="10"/>
      <c r="I838" s="14"/>
      <c r="J838" s="14"/>
      <c r="L838" s="7"/>
    </row>
    <row r="839">
      <c r="B839" s="10"/>
      <c r="I839" s="14"/>
      <c r="J839" s="14"/>
      <c r="L839" s="7"/>
    </row>
    <row r="840">
      <c r="B840" s="10"/>
      <c r="I840" s="14"/>
      <c r="J840" s="14"/>
      <c r="L840" s="7"/>
    </row>
    <row r="841">
      <c r="B841" s="10"/>
      <c r="I841" s="14"/>
      <c r="J841" s="14"/>
      <c r="L841" s="7"/>
    </row>
    <row r="842">
      <c r="B842" s="10"/>
      <c r="I842" s="14"/>
      <c r="J842" s="14"/>
      <c r="L842" s="7"/>
    </row>
    <row r="843">
      <c r="B843" s="10"/>
      <c r="I843" s="14"/>
      <c r="J843" s="14"/>
      <c r="L843" s="7"/>
    </row>
    <row r="844">
      <c r="B844" s="10"/>
      <c r="I844" s="14"/>
      <c r="J844" s="14"/>
      <c r="L844" s="7"/>
    </row>
    <row r="845">
      <c r="B845" s="10"/>
      <c r="I845" s="14"/>
      <c r="J845" s="14"/>
      <c r="L845" s="7"/>
    </row>
    <row r="846">
      <c r="B846" s="10"/>
      <c r="I846" s="14"/>
      <c r="J846" s="14"/>
      <c r="L846" s="7"/>
    </row>
    <row r="847">
      <c r="B847" s="10"/>
      <c r="I847" s="14"/>
      <c r="J847" s="14"/>
      <c r="L847" s="7"/>
    </row>
    <row r="848">
      <c r="B848" s="10"/>
      <c r="I848" s="14"/>
      <c r="J848" s="14"/>
      <c r="L848" s="7"/>
    </row>
    <row r="849">
      <c r="B849" s="10"/>
      <c r="I849" s="14"/>
      <c r="J849" s="14"/>
      <c r="L849" s="7"/>
    </row>
    <row r="850">
      <c r="B850" s="10"/>
      <c r="I850" s="14"/>
      <c r="J850" s="14"/>
      <c r="L850" s="7"/>
    </row>
    <row r="851">
      <c r="B851" s="10"/>
      <c r="I851" s="14"/>
      <c r="J851" s="14"/>
      <c r="L851" s="7"/>
    </row>
    <row r="852">
      <c r="B852" s="10"/>
      <c r="I852" s="14"/>
      <c r="J852" s="14"/>
      <c r="L852" s="7"/>
    </row>
    <row r="853">
      <c r="B853" s="10"/>
      <c r="I853" s="14"/>
      <c r="J853" s="14"/>
      <c r="L853" s="7"/>
    </row>
    <row r="854">
      <c r="B854" s="10"/>
      <c r="I854" s="14"/>
      <c r="J854" s="14"/>
      <c r="L854" s="7"/>
    </row>
    <row r="855">
      <c r="B855" s="10"/>
      <c r="I855" s="14"/>
      <c r="J855" s="14"/>
      <c r="L855" s="7"/>
    </row>
    <row r="856">
      <c r="B856" s="10"/>
      <c r="I856" s="14"/>
      <c r="J856" s="14"/>
      <c r="L856" s="7"/>
    </row>
    <row r="857">
      <c r="B857" s="10"/>
      <c r="I857" s="14"/>
      <c r="J857" s="14"/>
      <c r="L857" s="7"/>
    </row>
    <row r="858">
      <c r="B858" s="10"/>
      <c r="I858" s="14"/>
      <c r="J858" s="14"/>
      <c r="L858" s="7"/>
    </row>
    <row r="859">
      <c r="B859" s="10"/>
      <c r="I859" s="14"/>
      <c r="J859" s="14"/>
      <c r="L859" s="7"/>
    </row>
    <row r="860">
      <c r="B860" s="10"/>
      <c r="I860" s="14"/>
      <c r="J860" s="14"/>
      <c r="L860" s="7"/>
    </row>
    <row r="861">
      <c r="B861" s="10"/>
      <c r="I861" s="14"/>
      <c r="J861" s="14"/>
      <c r="L861" s="7"/>
    </row>
    <row r="862">
      <c r="B862" s="10"/>
      <c r="I862" s="14"/>
      <c r="J862" s="14"/>
      <c r="L862" s="7"/>
    </row>
    <row r="863">
      <c r="B863" s="10"/>
      <c r="I863" s="14"/>
      <c r="J863" s="14"/>
      <c r="L863" s="7"/>
    </row>
    <row r="864">
      <c r="B864" s="10"/>
      <c r="I864" s="14"/>
      <c r="J864" s="14"/>
      <c r="L864" s="7"/>
    </row>
    <row r="865">
      <c r="B865" s="10"/>
      <c r="I865" s="14"/>
      <c r="J865" s="14"/>
      <c r="L865" s="7"/>
    </row>
    <row r="866">
      <c r="B866" s="10"/>
      <c r="I866" s="14"/>
      <c r="J866" s="14"/>
      <c r="L866" s="7"/>
    </row>
    <row r="867">
      <c r="B867" s="10"/>
      <c r="I867" s="14"/>
      <c r="J867" s="14"/>
      <c r="L867" s="7"/>
    </row>
    <row r="868">
      <c r="B868" s="10"/>
      <c r="I868" s="14"/>
      <c r="J868" s="14"/>
      <c r="L868" s="7"/>
    </row>
    <row r="869">
      <c r="B869" s="10"/>
      <c r="I869" s="14"/>
      <c r="J869" s="14"/>
      <c r="L869" s="7"/>
    </row>
    <row r="870">
      <c r="B870" s="10"/>
      <c r="I870" s="14"/>
      <c r="J870" s="14"/>
      <c r="L870" s="7"/>
    </row>
    <row r="871">
      <c r="B871" s="10"/>
      <c r="I871" s="14"/>
      <c r="J871" s="14"/>
      <c r="L871" s="7"/>
    </row>
    <row r="872">
      <c r="B872" s="10"/>
      <c r="I872" s="14"/>
      <c r="J872" s="14"/>
      <c r="L872" s="7"/>
    </row>
    <row r="873">
      <c r="B873" s="10"/>
      <c r="I873" s="14"/>
      <c r="J873" s="14"/>
      <c r="L873" s="7"/>
    </row>
    <row r="874">
      <c r="B874" s="10"/>
      <c r="I874" s="14"/>
      <c r="J874" s="14"/>
      <c r="L874" s="7"/>
    </row>
    <row r="875">
      <c r="B875" s="10"/>
      <c r="I875" s="14"/>
      <c r="J875" s="14"/>
      <c r="L875" s="7"/>
    </row>
    <row r="876">
      <c r="B876" s="10"/>
      <c r="I876" s="14"/>
      <c r="J876" s="14"/>
      <c r="L876" s="7"/>
    </row>
    <row r="877">
      <c r="B877" s="10"/>
      <c r="I877" s="14"/>
      <c r="J877" s="14"/>
      <c r="L877" s="7"/>
    </row>
    <row r="878">
      <c r="B878" s="10"/>
      <c r="I878" s="14"/>
      <c r="J878" s="14"/>
      <c r="L878" s="7"/>
    </row>
    <row r="879">
      <c r="B879" s="10"/>
      <c r="I879" s="14"/>
      <c r="J879" s="14"/>
      <c r="L879" s="7"/>
    </row>
    <row r="880">
      <c r="B880" s="10"/>
      <c r="I880" s="14"/>
      <c r="J880" s="14"/>
      <c r="L880" s="7"/>
    </row>
    <row r="881">
      <c r="B881" s="10"/>
      <c r="I881" s="14"/>
      <c r="J881" s="14"/>
      <c r="L881" s="7"/>
    </row>
    <row r="882">
      <c r="B882" s="10"/>
      <c r="I882" s="14"/>
      <c r="J882" s="14"/>
      <c r="L882" s="7"/>
    </row>
    <row r="883">
      <c r="B883" s="10"/>
      <c r="I883" s="14"/>
      <c r="J883" s="14"/>
      <c r="L883" s="7"/>
    </row>
    <row r="884">
      <c r="B884" s="10"/>
      <c r="I884" s="14"/>
      <c r="J884" s="14"/>
      <c r="L884" s="7"/>
    </row>
    <row r="885">
      <c r="B885" s="10"/>
      <c r="I885" s="14"/>
      <c r="J885" s="14"/>
      <c r="L885" s="7"/>
    </row>
    <row r="886">
      <c r="B886" s="10"/>
      <c r="I886" s="14"/>
      <c r="J886" s="14"/>
      <c r="L886" s="7"/>
    </row>
    <row r="887">
      <c r="B887" s="10"/>
      <c r="I887" s="14"/>
      <c r="J887" s="14"/>
      <c r="L887" s="7"/>
    </row>
    <row r="888">
      <c r="B888" s="10"/>
      <c r="I888" s="14"/>
      <c r="J888" s="14"/>
      <c r="L888" s="7"/>
    </row>
    <row r="889">
      <c r="B889" s="10"/>
      <c r="I889" s="14"/>
      <c r="J889" s="14"/>
      <c r="L889" s="7"/>
    </row>
    <row r="890">
      <c r="B890" s="10"/>
      <c r="I890" s="14"/>
      <c r="J890" s="14"/>
      <c r="L890" s="7"/>
    </row>
    <row r="891">
      <c r="B891" s="10"/>
      <c r="I891" s="14"/>
      <c r="J891" s="14"/>
      <c r="L891" s="7"/>
    </row>
    <row r="892">
      <c r="B892" s="10"/>
      <c r="I892" s="14"/>
      <c r="J892" s="14"/>
      <c r="L892" s="7"/>
    </row>
    <row r="893">
      <c r="B893" s="10"/>
      <c r="I893" s="14"/>
      <c r="J893" s="14"/>
      <c r="L893" s="7"/>
    </row>
    <row r="894">
      <c r="B894" s="10"/>
      <c r="I894" s="14"/>
      <c r="J894" s="14"/>
      <c r="L894" s="7"/>
    </row>
    <row r="895">
      <c r="B895" s="10"/>
      <c r="I895" s="14"/>
      <c r="J895" s="14"/>
      <c r="L895" s="7"/>
    </row>
    <row r="896">
      <c r="B896" s="10"/>
      <c r="I896" s="14"/>
      <c r="J896" s="14"/>
      <c r="L896" s="7"/>
    </row>
    <row r="897">
      <c r="B897" s="10"/>
      <c r="I897" s="14"/>
      <c r="J897" s="14"/>
      <c r="L897" s="7"/>
    </row>
    <row r="898">
      <c r="B898" s="10"/>
      <c r="I898" s="14"/>
      <c r="J898" s="14"/>
      <c r="L898" s="7"/>
    </row>
    <row r="899">
      <c r="B899" s="10"/>
      <c r="I899" s="14"/>
      <c r="J899" s="14"/>
      <c r="L899" s="7"/>
    </row>
    <row r="900">
      <c r="B900" s="10"/>
      <c r="I900" s="14"/>
      <c r="J900" s="14"/>
      <c r="L900" s="7"/>
    </row>
    <row r="901">
      <c r="B901" s="10"/>
      <c r="I901" s="14"/>
      <c r="J901" s="14"/>
      <c r="L901" s="7"/>
    </row>
    <row r="902">
      <c r="B902" s="10"/>
      <c r="I902" s="14"/>
      <c r="J902" s="14"/>
      <c r="L902" s="7"/>
    </row>
    <row r="903">
      <c r="B903" s="10"/>
      <c r="I903" s="14"/>
      <c r="J903" s="14"/>
      <c r="L903" s="7"/>
    </row>
    <row r="904">
      <c r="B904" s="10"/>
      <c r="I904" s="14"/>
      <c r="J904" s="14"/>
      <c r="L904" s="7"/>
    </row>
    <row r="905">
      <c r="B905" s="10"/>
      <c r="I905" s="14"/>
      <c r="J905" s="14"/>
      <c r="L905" s="7"/>
    </row>
    <row r="906">
      <c r="B906" s="10"/>
      <c r="I906" s="14"/>
      <c r="J906" s="14"/>
      <c r="L906" s="7"/>
    </row>
    <row r="907">
      <c r="B907" s="10"/>
      <c r="I907" s="14"/>
      <c r="J907" s="14"/>
      <c r="L907" s="7"/>
    </row>
    <row r="908">
      <c r="B908" s="10"/>
      <c r="I908" s="14"/>
      <c r="J908" s="14"/>
      <c r="L908" s="7"/>
    </row>
    <row r="909">
      <c r="B909" s="10"/>
      <c r="I909" s="14"/>
      <c r="J909" s="14"/>
      <c r="L909" s="7"/>
    </row>
    <row r="910">
      <c r="B910" s="10"/>
      <c r="I910" s="14"/>
      <c r="J910" s="14"/>
      <c r="L910" s="7"/>
    </row>
    <row r="911">
      <c r="B911" s="10"/>
      <c r="I911" s="14"/>
      <c r="J911" s="14"/>
      <c r="L911" s="7"/>
    </row>
    <row r="912">
      <c r="B912" s="10"/>
      <c r="I912" s="14"/>
      <c r="J912" s="14"/>
      <c r="L912" s="7"/>
    </row>
    <row r="913">
      <c r="B913" s="10"/>
      <c r="I913" s="14"/>
      <c r="J913" s="14"/>
      <c r="L913" s="7"/>
    </row>
    <row r="914">
      <c r="B914" s="10"/>
      <c r="I914" s="14"/>
      <c r="J914" s="14"/>
      <c r="L914" s="7"/>
    </row>
    <row r="915">
      <c r="B915" s="10"/>
      <c r="I915" s="14"/>
      <c r="J915" s="14"/>
      <c r="L915" s="7"/>
    </row>
    <row r="916">
      <c r="B916" s="10"/>
      <c r="I916" s="14"/>
      <c r="J916" s="14"/>
      <c r="L916" s="7"/>
    </row>
    <row r="917">
      <c r="B917" s="10"/>
      <c r="I917" s="14"/>
      <c r="J917" s="14"/>
      <c r="L917" s="7"/>
    </row>
    <row r="918">
      <c r="B918" s="10"/>
      <c r="I918" s="14"/>
      <c r="J918" s="14"/>
      <c r="L918" s="7"/>
    </row>
    <row r="919">
      <c r="B919" s="10"/>
      <c r="I919" s="14"/>
      <c r="J919" s="14"/>
      <c r="L919" s="7"/>
    </row>
    <row r="920">
      <c r="B920" s="10"/>
      <c r="I920" s="14"/>
      <c r="J920" s="14"/>
      <c r="L920" s="7"/>
    </row>
    <row r="921">
      <c r="B921" s="10"/>
      <c r="I921" s="14"/>
      <c r="J921" s="14"/>
      <c r="L921" s="7"/>
    </row>
    <row r="922">
      <c r="B922" s="10"/>
      <c r="I922" s="14"/>
      <c r="J922" s="14"/>
      <c r="L922" s="7"/>
    </row>
    <row r="923">
      <c r="B923" s="10"/>
      <c r="I923" s="14"/>
      <c r="J923" s="14"/>
      <c r="L923" s="7"/>
    </row>
    <row r="924">
      <c r="B924" s="10"/>
      <c r="I924" s="14"/>
      <c r="J924" s="14"/>
      <c r="L924" s="7"/>
    </row>
    <row r="925">
      <c r="B925" s="10"/>
      <c r="I925" s="14"/>
      <c r="J925" s="14"/>
      <c r="L925" s="7"/>
    </row>
    <row r="926">
      <c r="B926" s="10"/>
      <c r="I926" s="14"/>
      <c r="J926" s="14"/>
      <c r="L926" s="7"/>
    </row>
    <row r="927">
      <c r="B927" s="10"/>
      <c r="I927" s="14"/>
      <c r="J927" s="14"/>
      <c r="L927" s="7"/>
    </row>
    <row r="928">
      <c r="B928" s="10"/>
      <c r="I928" s="14"/>
      <c r="J928" s="14"/>
      <c r="L928" s="7"/>
    </row>
    <row r="929">
      <c r="B929" s="10"/>
      <c r="I929" s="14"/>
      <c r="J929" s="14"/>
      <c r="L929" s="7"/>
    </row>
    <row r="930">
      <c r="B930" s="10"/>
      <c r="I930" s="14"/>
      <c r="J930" s="14"/>
      <c r="L930" s="7"/>
    </row>
    <row r="931">
      <c r="B931" s="10"/>
      <c r="I931" s="14"/>
      <c r="J931" s="14"/>
      <c r="L931" s="7"/>
    </row>
    <row r="932">
      <c r="B932" s="10"/>
      <c r="I932" s="14"/>
      <c r="J932" s="14"/>
      <c r="L932" s="7"/>
    </row>
    <row r="933">
      <c r="B933" s="10"/>
      <c r="I933" s="14"/>
      <c r="J933" s="14"/>
      <c r="L933" s="7"/>
    </row>
    <row r="934">
      <c r="B934" s="10"/>
      <c r="I934" s="14"/>
      <c r="J934" s="14"/>
      <c r="L934" s="7"/>
    </row>
    <row r="935">
      <c r="B935" s="10"/>
      <c r="I935" s="14"/>
      <c r="J935" s="14"/>
      <c r="L935" s="7"/>
    </row>
    <row r="936">
      <c r="B936" s="10"/>
      <c r="I936" s="14"/>
      <c r="J936" s="14"/>
      <c r="L936" s="7"/>
    </row>
    <row r="937">
      <c r="B937" s="10"/>
      <c r="I937" s="14"/>
      <c r="J937" s="14"/>
      <c r="L937" s="7"/>
    </row>
    <row r="938">
      <c r="B938" s="10"/>
      <c r="I938" s="14"/>
      <c r="J938" s="14"/>
      <c r="L938" s="7"/>
    </row>
    <row r="939">
      <c r="B939" s="10"/>
      <c r="I939" s="14"/>
      <c r="J939" s="14"/>
      <c r="L939" s="7"/>
    </row>
    <row r="940">
      <c r="B940" s="10"/>
      <c r="I940" s="14"/>
      <c r="J940" s="14"/>
      <c r="L940" s="7"/>
    </row>
    <row r="941">
      <c r="B941" s="10"/>
      <c r="I941" s="14"/>
      <c r="J941" s="14"/>
      <c r="L941" s="7"/>
    </row>
    <row r="942">
      <c r="B942" s="10"/>
      <c r="I942" s="14"/>
      <c r="J942" s="14"/>
      <c r="L942" s="7"/>
    </row>
    <row r="943">
      <c r="B943" s="10"/>
      <c r="I943" s="14"/>
      <c r="J943" s="14"/>
      <c r="L943" s="7"/>
    </row>
    <row r="944">
      <c r="B944" s="10"/>
      <c r="I944" s="14"/>
      <c r="J944" s="14"/>
      <c r="L944" s="7"/>
    </row>
    <row r="945">
      <c r="B945" s="10"/>
      <c r="I945" s="14"/>
      <c r="J945" s="14"/>
      <c r="L945" s="7"/>
    </row>
    <row r="946">
      <c r="B946" s="10"/>
      <c r="I946" s="14"/>
      <c r="J946" s="14"/>
      <c r="L946" s="7"/>
    </row>
    <row r="947">
      <c r="B947" s="10"/>
      <c r="I947" s="14"/>
      <c r="J947" s="14"/>
      <c r="L947" s="7"/>
    </row>
    <row r="948">
      <c r="B948" s="10"/>
      <c r="I948" s="14"/>
      <c r="J948" s="14"/>
      <c r="L948" s="7"/>
    </row>
    <row r="949">
      <c r="B949" s="10"/>
      <c r="I949" s="14"/>
      <c r="J949" s="14"/>
      <c r="L949" s="7"/>
    </row>
    <row r="950">
      <c r="B950" s="10"/>
      <c r="I950" s="14"/>
      <c r="J950" s="14"/>
      <c r="L950" s="7"/>
    </row>
    <row r="951">
      <c r="B951" s="10"/>
      <c r="I951" s="14"/>
      <c r="J951" s="14"/>
      <c r="L951" s="7"/>
    </row>
    <row r="952">
      <c r="B952" s="10"/>
      <c r="I952" s="14"/>
      <c r="J952" s="14"/>
      <c r="L952" s="7"/>
    </row>
    <row r="953">
      <c r="B953" s="10"/>
      <c r="I953" s="14"/>
      <c r="J953" s="14"/>
      <c r="L953" s="7"/>
    </row>
    <row r="954">
      <c r="B954" s="10"/>
      <c r="I954" s="14"/>
      <c r="J954" s="14"/>
      <c r="L954" s="7"/>
    </row>
    <row r="955">
      <c r="B955" s="10"/>
      <c r="I955" s="14"/>
      <c r="J955" s="14"/>
      <c r="L955" s="7"/>
    </row>
    <row r="956">
      <c r="B956" s="10"/>
      <c r="I956" s="14"/>
      <c r="J956" s="14"/>
      <c r="L956" s="7"/>
    </row>
    <row r="957">
      <c r="B957" s="10"/>
      <c r="I957" s="14"/>
      <c r="J957" s="14"/>
      <c r="L957" s="7"/>
    </row>
    <row r="958">
      <c r="B958" s="10"/>
      <c r="I958" s="14"/>
      <c r="J958" s="14"/>
      <c r="L958" s="7"/>
    </row>
    <row r="959">
      <c r="B959" s="10"/>
      <c r="I959" s="14"/>
      <c r="J959" s="14"/>
      <c r="L959" s="7"/>
    </row>
    <row r="960">
      <c r="B960" s="10"/>
      <c r="I960" s="14"/>
      <c r="J960" s="14"/>
      <c r="L960" s="7"/>
    </row>
    <row r="961">
      <c r="B961" s="10"/>
      <c r="I961" s="14"/>
      <c r="J961" s="14"/>
      <c r="L961" s="7"/>
    </row>
    <row r="962">
      <c r="B962" s="10"/>
      <c r="I962" s="14"/>
      <c r="J962" s="14"/>
      <c r="L962" s="7"/>
    </row>
    <row r="963">
      <c r="B963" s="10"/>
      <c r="I963" s="14"/>
      <c r="J963" s="14"/>
      <c r="L963" s="7"/>
    </row>
    <row r="964">
      <c r="B964" s="10"/>
      <c r="I964" s="14"/>
      <c r="J964" s="14"/>
      <c r="L964" s="7"/>
    </row>
    <row r="965">
      <c r="B965" s="10"/>
      <c r="I965" s="14"/>
      <c r="J965" s="14"/>
      <c r="L965" s="7"/>
    </row>
    <row r="966">
      <c r="B966" s="10"/>
      <c r="I966" s="14"/>
      <c r="J966" s="14"/>
      <c r="L966" s="7"/>
    </row>
    <row r="967">
      <c r="B967" s="10"/>
      <c r="I967" s="14"/>
      <c r="J967" s="14"/>
      <c r="L967" s="7"/>
    </row>
    <row r="968">
      <c r="B968" s="10"/>
      <c r="I968" s="14"/>
      <c r="J968" s="14"/>
      <c r="L968" s="7"/>
    </row>
    <row r="969">
      <c r="B969" s="10"/>
      <c r="I969" s="14"/>
      <c r="J969" s="14"/>
      <c r="L969" s="7"/>
    </row>
    <row r="970">
      <c r="B970" s="10"/>
      <c r="I970" s="14"/>
      <c r="J970" s="14"/>
      <c r="L970" s="7"/>
    </row>
    <row r="971">
      <c r="B971" s="10"/>
      <c r="I971" s="14"/>
      <c r="J971" s="14"/>
      <c r="L971" s="7"/>
    </row>
    <row r="972">
      <c r="B972" s="10"/>
      <c r="I972" s="14"/>
      <c r="J972" s="14"/>
      <c r="L972" s="7"/>
    </row>
    <row r="973">
      <c r="B973" s="10"/>
      <c r="I973" s="14"/>
      <c r="J973" s="14"/>
      <c r="L973" s="7"/>
    </row>
    <row r="974">
      <c r="B974" s="10"/>
      <c r="I974" s="14"/>
      <c r="J974" s="14"/>
      <c r="L974" s="7"/>
    </row>
    <row r="975">
      <c r="B975" s="10"/>
      <c r="I975" s="14"/>
      <c r="J975" s="14"/>
      <c r="L975" s="7"/>
    </row>
    <row r="976">
      <c r="B976" s="10"/>
      <c r="I976" s="14"/>
      <c r="J976" s="14"/>
      <c r="L976" s="7"/>
    </row>
    <row r="977">
      <c r="B977" s="10"/>
      <c r="I977" s="14"/>
      <c r="J977" s="14"/>
      <c r="L977" s="7"/>
    </row>
    <row r="978">
      <c r="B978" s="10"/>
      <c r="I978" s="14"/>
      <c r="J978" s="14"/>
      <c r="L978" s="7"/>
    </row>
    <row r="979">
      <c r="B979" s="10"/>
      <c r="I979" s="14"/>
      <c r="J979" s="14"/>
      <c r="L979" s="7"/>
    </row>
    <row r="980">
      <c r="B980" s="10"/>
      <c r="I980" s="14"/>
      <c r="J980" s="14"/>
      <c r="L980" s="7"/>
    </row>
    <row r="981">
      <c r="B981" s="10"/>
      <c r="I981" s="14"/>
      <c r="J981" s="14"/>
      <c r="L981" s="7"/>
    </row>
    <row r="982">
      <c r="B982" s="10"/>
      <c r="I982" s="14"/>
      <c r="J982" s="14"/>
      <c r="L982" s="7"/>
    </row>
    <row r="983">
      <c r="B983" s="10"/>
      <c r="I983" s="14"/>
      <c r="J983" s="14"/>
      <c r="L983" s="7"/>
    </row>
    <row r="984">
      <c r="B984" s="10"/>
      <c r="I984" s="14"/>
      <c r="J984" s="14"/>
      <c r="L984" s="7"/>
    </row>
    <row r="985">
      <c r="B985" s="10"/>
      <c r="I985" s="14"/>
      <c r="J985" s="14"/>
      <c r="L985" s="7"/>
    </row>
    <row r="986">
      <c r="B986" s="10"/>
      <c r="I986" s="14"/>
      <c r="J986" s="14"/>
      <c r="L986" s="7"/>
    </row>
    <row r="987">
      <c r="B987" s="10"/>
      <c r="I987" s="14"/>
      <c r="J987" s="14"/>
      <c r="L987" s="7"/>
    </row>
    <row r="988">
      <c r="B988" s="10"/>
      <c r="I988" s="14"/>
      <c r="J988" s="14"/>
      <c r="L988" s="7"/>
    </row>
    <row r="989">
      <c r="B989" s="10"/>
      <c r="I989" s="14"/>
      <c r="J989" s="14"/>
      <c r="L989" s="7"/>
    </row>
    <row r="990">
      <c r="B990" s="10"/>
      <c r="I990" s="14"/>
      <c r="J990" s="14"/>
      <c r="L990" s="7"/>
    </row>
    <row r="991">
      <c r="B991" s="10"/>
      <c r="I991" s="14"/>
      <c r="J991" s="14"/>
      <c r="L991" s="7"/>
    </row>
    <row r="992">
      <c r="B992" s="10"/>
      <c r="I992" s="14"/>
      <c r="J992" s="14"/>
      <c r="L992" s="7"/>
    </row>
    <row r="993">
      <c r="B993" s="10"/>
      <c r="I993" s="14"/>
      <c r="J993" s="14"/>
      <c r="L993" s="7"/>
    </row>
    <row r="994">
      <c r="B994" s="10"/>
      <c r="I994" s="14"/>
      <c r="J994" s="14"/>
      <c r="L994" s="7"/>
    </row>
    <row r="995">
      <c r="B995" s="10"/>
      <c r="I995" s="14"/>
      <c r="J995" s="14"/>
      <c r="L995" s="7"/>
    </row>
    <row r="996">
      <c r="B996" s="10"/>
      <c r="I996" s="14"/>
      <c r="J996" s="14"/>
      <c r="L996" s="7"/>
    </row>
    <row r="997">
      <c r="B997" s="10"/>
      <c r="I997" s="14"/>
      <c r="J997" s="14"/>
      <c r="L997" s="7"/>
    </row>
    <row r="998">
      <c r="B998" s="10"/>
      <c r="I998" s="14"/>
      <c r="J998" s="14"/>
      <c r="L998" s="7"/>
    </row>
    <row r="999">
      <c r="B999" s="10"/>
      <c r="I999" s="14"/>
      <c r="J999" s="14"/>
      <c r="L999" s="7"/>
    </row>
    <row r="1000">
      <c r="B1000" s="10"/>
      <c r="I1000" s="14"/>
      <c r="J1000" s="14"/>
      <c r="L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>
      <c r="A2" s="1" t="s">
        <v>2</v>
      </c>
      <c r="B2" s="6">
        <v>100000.0</v>
      </c>
      <c r="C2" s="6">
        <v>120000.0</v>
      </c>
      <c r="D2" s="6">
        <v>80000.0</v>
      </c>
      <c r="E2" s="6">
        <v>150000.0</v>
      </c>
      <c r="F2" s="6">
        <v>60000.0</v>
      </c>
    </row>
    <row r="3">
      <c r="A3" s="1" t="s">
        <v>3</v>
      </c>
      <c r="B3" s="6">
        <v>5000.0</v>
      </c>
      <c r="C3" s="6">
        <v>8000.0</v>
      </c>
      <c r="D3" s="6">
        <v>4000.0</v>
      </c>
      <c r="E3" s="6">
        <v>10000.0</v>
      </c>
      <c r="F3" s="6">
        <v>3000.0</v>
      </c>
    </row>
    <row r="4">
      <c r="A4" s="1" t="s">
        <v>4</v>
      </c>
      <c r="B4" s="6">
        <v>500.0</v>
      </c>
      <c r="C4" s="6">
        <v>1000.0</v>
      </c>
      <c r="D4" s="6">
        <v>300.0</v>
      </c>
      <c r="E4" s="6">
        <v>1500.0</v>
      </c>
      <c r="F4" s="6">
        <v>250.0</v>
      </c>
    </row>
    <row r="5">
      <c r="A5" s="1" t="s">
        <v>27</v>
      </c>
      <c r="B5" s="7">
        <f t="shared" ref="B5:F5" si="1">B4/B2</f>
        <v>0.005</v>
      </c>
      <c r="C5" s="7">
        <f t="shared" si="1"/>
        <v>0.008333333333</v>
      </c>
      <c r="D5" s="7">
        <f t="shared" si="1"/>
        <v>0.00375</v>
      </c>
      <c r="E5" s="7">
        <f t="shared" si="1"/>
        <v>0.01</v>
      </c>
      <c r="F5" s="7">
        <f t="shared" si="1"/>
        <v>0.004166666667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6.13"/>
    <col customWidth="1" min="3" max="3" width="8.0"/>
    <col customWidth="1" min="4" max="4" width="15.0"/>
    <col customWidth="1" min="6" max="6" width="22.88"/>
    <col customWidth="1" min="7" max="8" width="17.13"/>
    <col customWidth="1" min="9" max="9" width="20.25"/>
    <col customWidth="1" min="17" max="17" width="24.75"/>
    <col customWidth="1" min="18" max="18" width="15.0"/>
    <col customWidth="1" min="19" max="19" width="10.5"/>
    <col customWidth="1" min="20" max="20" width="20.25"/>
  </cols>
  <sheetData>
    <row r="1">
      <c r="A1" s="1" t="s">
        <v>28</v>
      </c>
      <c r="B1" s="1" t="s">
        <v>29</v>
      </c>
      <c r="C1" s="1" t="s">
        <v>6</v>
      </c>
      <c r="D1" s="1" t="s">
        <v>30</v>
      </c>
    </row>
    <row r="2">
      <c r="A2" s="6">
        <v>1.0</v>
      </c>
      <c r="B2" s="6" t="s">
        <v>11</v>
      </c>
      <c r="C2" s="6">
        <v>50.0</v>
      </c>
      <c r="D2" s="6">
        <v>1.0</v>
      </c>
      <c r="F2" s="1" t="s">
        <v>29</v>
      </c>
      <c r="G2" s="1" t="s">
        <v>31</v>
      </c>
      <c r="H2" s="1" t="s">
        <v>32</v>
      </c>
      <c r="I2" s="1" t="s">
        <v>33</v>
      </c>
      <c r="Q2" s="1" t="s">
        <v>29</v>
      </c>
      <c r="R2" s="1" t="s">
        <v>31</v>
      </c>
      <c r="S2" s="1" t="s">
        <v>32</v>
      </c>
      <c r="T2" s="1" t="s">
        <v>33</v>
      </c>
    </row>
    <row r="3">
      <c r="A3" s="6">
        <v>2.0</v>
      </c>
      <c r="B3" s="6" t="s">
        <v>12</v>
      </c>
      <c r="C3" s="6">
        <v>100.0</v>
      </c>
      <c r="D3" s="6">
        <v>1.0</v>
      </c>
      <c r="F3" s="6" t="s">
        <v>14</v>
      </c>
      <c r="G3" s="15">
        <f>SUMIF(B2:B31,"Affiliate",C2:C31)</f>
        <v>495</v>
      </c>
      <c r="H3" s="15">
        <f>COUNTIF(B2:B31,"Affiliate")</f>
        <v>6</v>
      </c>
      <c r="I3" s="17">
        <f t="shared" ref="I3:I7" si="1">G3/H3</f>
        <v>82.5</v>
      </c>
      <c r="Q3" s="6" t="s">
        <v>14</v>
      </c>
      <c r="R3" s="6">
        <f t="shared" ref="R3:R7" si="2">SUMIF(B:B, Q3, C:C)</f>
        <v>495</v>
      </c>
      <c r="S3" s="6">
        <f t="shared" ref="S3:S7" si="3">COUNTIF(B:B, Q3)</f>
        <v>6</v>
      </c>
      <c r="T3" s="17">
        <f t="shared" ref="T3:T7" si="4">R3/S3</f>
        <v>82.5</v>
      </c>
    </row>
    <row r="4">
      <c r="A4" s="6">
        <v>3.0</v>
      </c>
      <c r="B4" s="6" t="s">
        <v>13</v>
      </c>
      <c r="C4" s="6">
        <v>150.0</v>
      </c>
      <c r="D4" s="6">
        <v>2.0</v>
      </c>
      <c r="F4" s="6" t="s">
        <v>11</v>
      </c>
      <c r="G4" s="15">
        <f>SUMIF(B3:B32,"Email",C3:C32)</f>
        <v>330</v>
      </c>
      <c r="H4" s="15">
        <f>COUNTIF(B3:B32,"Email")</f>
        <v>5</v>
      </c>
      <c r="I4" s="17">
        <f t="shared" si="1"/>
        <v>66</v>
      </c>
      <c r="Q4" s="6" t="s">
        <v>11</v>
      </c>
      <c r="R4" s="6">
        <f t="shared" si="2"/>
        <v>380</v>
      </c>
      <c r="S4" s="6">
        <f t="shared" si="3"/>
        <v>6</v>
      </c>
      <c r="T4" s="17">
        <f t="shared" si="4"/>
        <v>63.33333333</v>
      </c>
    </row>
    <row r="5">
      <c r="A5" s="6">
        <v>4.0</v>
      </c>
      <c r="B5" s="6" t="s">
        <v>14</v>
      </c>
      <c r="C5" s="6">
        <v>75.0</v>
      </c>
      <c r="D5" s="6">
        <v>1.0</v>
      </c>
      <c r="F5" s="6" t="s">
        <v>15</v>
      </c>
      <c r="G5" s="15">
        <f>SUMIF(B4:B33,"Influencer",C4:C33)</f>
        <v>1380</v>
      </c>
      <c r="H5" s="15">
        <f>COUNTIF(B4:B33,"Influencer")</f>
        <v>6</v>
      </c>
      <c r="I5" s="17">
        <f t="shared" si="1"/>
        <v>230</v>
      </c>
      <c r="Q5" s="6" t="s">
        <v>15</v>
      </c>
      <c r="R5" s="6">
        <f t="shared" si="2"/>
        <v>1380</v>
      </c>
      <c r="S5" s="6">
        <f t="shared" si="3"/>
        <v>6</v>
      </c>
      <c r="T5" s="17">
        <f t="shared" si="4"/>
        <v>230</v>
      </c>
    </row>
    <row r="6">
      <c r="A6" s="6">
        <v>5.0</v>
      </c>
      <c r="B6" s="6" t="s">
        <v>15</v>
      </c>
      <c r="C6" s="6">
        <v>200.0</v>
      </c>
      <c r="D6" s="6">
        <v>3.0</v>
      </c>
      <c r="F6" s="6" t="s">
        <v>13</v>
      </c>
      <c r="G6" s="15">
        <f>SUMIF(B5:B34,"PPC",C5:C34)</f>
        <v>785</v>
      </c>
      <c r="H6" s="15">
        <f>COUNTIF(B5:B34,"PPC")</f>
        <v>5</v>
      </c>
      <c r="I6" s="17">
        <f t="shared" si="1"/>
        <v>157</v>
      </c>
      <c r="Q6" s="6" t="s">
        <v>13</v>
      </c>
      <c r="R6" s="6">
        <f t="shared" si="2"/>
        <v>935</v>
      </c>
      <c r="S6" s="6">
        <f t="shared" si="3"/>
        <v>6</v>
      </c>
      <c r="T6" s="17">
        <f t="shared" si="4"/>
        <v>155.8333333</v>
      </c>
    </row>
    <row r="7">
      <c r="A7" s="6">
        <v>6.0</v>
      </c>
      <c r="B7" s="6" t="s">
        <v>11</v>
      </c>
      <c r="C7" s="6">
        <v>60.0</v>
      </c>
      <c r="D7" s="6">
        <v>2.0</v>
      </c>
      <c r="F7" s="6" t="s">
        <v>12</v>
      </c>
      <c r="G7" s="15">
        <f>SUMIF(B6:B35,"Social Media",C6:C35)</f>
        <v>560</v>
      </c>
      <c r="H7" s="15">
        <f>COUNTIF(B6:B35,"Social media")</f>
        <v>5</v>
      </c>
      <c r="I7" s="17">
        <f t="shared" si="1"/>
        <v>112</v>
      </c>
      <c r="Q7" s="6" t="s">
        <v>12</v>
      </c>
      <c r="R7" s="6">
        <f t="shared" si="2"/>
        <v>660</v>
      </c>
      <c r="S7" s="6">
        <f t="shared" si="3"/>
        <v>6</v>
      </c>
      <c r="T7" s="17">
        <f t="shared" si="4"/>
        <v>110</v>
      </c>
    </row>
    <row r="8">
      <c r="A8" s="6">
        <v>7.0</v>
      </c>
      <c r="B8" s="6" t="s">
        <v>13</v>
      </c>
      <c r="C8" s="6">
        <v>140.0</v>
      </c>
      <c r="D8" s="6">
        <v>2.0</v>
      </c>
    </row>
    <row r="9">
      <c r="A9" s="6">
        <v>8.0</v>
      </c>
      <c r="B9" s="6" t="s">
        <v>14</v>
      </c>
      <c r="C9" s="6">
        <v>80.0</v>
      </c>
      <c r="D9" s="6">
        <v>3.0</v>
      </c>
    </row>
    <row r="10">
      <c r="A10" s="6">
        <v>9.0</v>
      </c>
      <c r="B10" s="6" t="s">
        <v>12</v>
      </c>
      <c r="C10" s="6">
        <v>90.0</v>
      </c>
      <c r="D10" s="6">
        <v>2.0</v>
      </c>
    </row>
    <row r="11">
      <c r="A11" s="6">
        <v>10.0</v>
      </c>
      <c r="B11" s="6" t="s">
        <v>15</v>
      </c>
      <c r="C11" s="6">
        <v>250.0</v>
      </c>
      <c r="D11" s="6">
        <v>3.0</v>
      </c>
    </row>
    <row r="12">
      <c r="A12" s="6">
        <v>11.0</v>
      </c>
      <c r="B12" s="6" t="s">
        <v>11</v>
      </c>
      <c r="C12" s="6">
        <v>55.0</v>
      </c>
      <c r="D12" s="6">
        <v>1.0</v>
      </c>
      <c r="F12" s="18" t="s">
        <v>34</v>
      </c>
      <c r="Q12" s="18" t="s">
        <v>34</v>
      </c>
    </row>
    <row r="13">
      <c r="A13" s="6">
        <v>12.0</v>
      </c>
      <c r="B13" s="6" t="s">
        <v>12</v>
      </c>
      <c r="C13" s="6">
        <v>110.0</v>
      </c>
      <c r="D13" s="6">
        <v>2.0</v>
      </c>
      <c r="F13" s="6" t="s">
        <v>29</v>
      </c>
      <c r="G13" s="6" t="s">
        <v>30</v>
      </c>
      <c r="H13" s="6" t="s">
        <v>6</v>
      </c>
      <c r="I13" s="6" t="s">
        <v>32</v>
      </c>
      <c r="Q13" s="1" t="s">
        <v>29</v>
      </c>
      <c r="R13" s="1" t="s">
        <v>30</v>
      </c>
      <c r="S13" s="1" t="s">
        <v>6</v>
      </c>
      <c r="T13" s="1" t="s">
        <v>32</v>
      </c>
    </row>
    <row r="14">
      <c r="A14" s="6">
        <v>13.0</v>
      </c>
      <c r="B14" s="6" t="s">
        <v>13</v>
      </c>
      <c r="C14" s="6">
        <v>160.0</v>
      </c>
      <c r="D14" s="6">
        <v>3.0</v>
      </c>
      <c r="F14" s="6" t="s">
        <v>14</v>
      </c>
      <c r="G14" s="6">
        <v>1.0</v>
      </c>
      <c r="H14" s="15">
        <f t="shared" ref="H14:H16" si="5">SUMIFS(C:C,B:B,"Affiliate",D:D,G14)</f>
        <v>235</v>
      </c>
      <c r="I14" s="15">
        <f t="shared" ref="I14:I16" si="6">COUNTIFS(B:B,"Affiliate",D:D,G14)</f>
        <v>3</v>
      </c>
      <c r="Q14" s="6" t="s">
        <v>14</v>
      </c>
      <c r="R14" s="6">
        <v>1.0</v>
      </c>
      <c r="S14" s="6">
        <f t="shared" ref="S14:S28" si="7">SUMIFS(C:C, B:B, Q14, D:D, R14)</f>
        <v>235</v>
      </c>
      <c r="T14" s="6">
        <f t="shared" ref="T14:T28" si="8">COUNTIFS(B:B, Q14, D:D, R14)</f>
        <v>3</v>
      </c>
    </row>
    <row r="15">
      <c r="A15" s="6">
        <v>14.0</v>
      </c>
      <c r="B15" s="6" t="s">
        <v>14</v>
      </c>
      <c r="C15" s="6">
        <v>85.0</v>
      </c>
      <c r="D15" s="6">
        <v>1.0</v>
      </c>
      <c r="F15" s="6" t="s">
        <v>14</v>
      </c>
      <c r="G15" s="6">
        <v>2.0</v>
      </c>
      <c r="H15" s="15">
        <f t="shared" si="5"/>
        <v>180</v>
      </c>
      <c r="I15" s="15">
        <f t="shared" si="6"/>
        <v>2</v>
      </c>
      <c r="Q15" s="6" t="s">
        <v>14</v>
      </c>
      <c r="R15" s="6">
        <v>2.0</v>
      </c>
      <c r="S15" s="6">
        <f t="shared" si="7"/>
        <v>180</v>
      </c>
      <c r="T15" s="6">
        <f t="shared" si="8"/>
        <v>2</v>
      </c>
    </row>
    <row r="16">
      <c r="A16" s="6">
        <v>15.0</v>
      </c>
      <c r="B16" s="6" t="s">
        <v>15</v>
      </c>
      <c r="C16" s="6">
        <v>210.0</v>
      </c>
      <c r="D16" s="6">
        <v>2.0</v>
      </c>
      <c r="F16" s="6" t="s">
        <v>14</v>
      </c>
      <c r="G16" s="6">
        <v>3.0</v>
      </c>
      <c r="H16" s="15">
        <f t="shared" si="5"/>
        <v>80</v>
      </c>
      <c r="I16" s="15">
        <f t="shared" si="6"/>
        <v>1</v>
      </c>
      <c r="Q16" s="6" t="s">
        <v>14</v>
      </c>
      <c r="R16" s="6">
        <v>3.0</v>
      </c>
      <c r="S16" s="6">
        <f t="shared" si="7"/>
        <v>80</v>
      </c>
      <c r="T16" s="6">
        <f t="shared" si="8"/>
        <v>1</v>
      </c>
    </row>
    <row r="17">
      <c r="A17" s="6">
        <v>16.0</v>
      </c>
      <c r="B17" s="6" t="s">
        <v>13</v>
      </c>
      <c r="C17" s="6">
        <v>145.0</v>
      </c>
      <c r="D17" s="6">
        <v>2.0</v>
      </c>
      <c r="F17" s="6" t="s">
        <v>11</v>
      </c>
      <c r="G17" s="6">
        <v>1.0</v>
      </c>
      <c r="H17" s="15">
        <f t="shared" ref="H17:H19" si="9">SUMIFS(C:C,B:B,"Email",D:D,G17)</f>
        <v>170</v>
      </c>
      <c r="I17" s="15">
        <f t="shared" ref="I17:I19" si="10">COUNTIFS(B:B,"Email",D:D,G17)</f>
        <v>3</v>
      </c>
      <c r="Q17" s="6" t="s">
        <v>11</v>
      </c>
      <c r="R17" s="6">
        <v>1.0</v>
      </c>
      <c r="S17" s="6">
        <f t="shared" si="7"/>
        <v>170</v>
      </c>
      <c r="T17" s="6">
        <f t="shared" si="8"/>
        <v>3</v>
      </c>
    </row>
    <row r="18">
      <c r="A18" s="6">
        <v>17.0</v>
      </c>
      <c r="B18" s="6" t="s">
        <v>11</v>
      </c>
      <c r="C18" s="6">
        <v>70.0</v>
      </c>
      <c r="D18" s="6">
        <v>3.0</v>
      </c>
      <c r="F18" s="6" t="s">
        <v>11</v>
      </c>
      <c r="G18" s="6">
        <v>2.0</v>
      </c>
      <c r="H18" s="15">
        <f t="shared" si="9"/>
        <v>140</v>
      </c>
      <c r="I18" s="15">
        <f t="shared" si="10"/>
        <v>2</v>
      </c>
      <c r="Q18" s="6" t="s">
        <v>11</v>
      </c>
      <c r="R18" s="6">
        <v>2.0</v>
      </c>
      <c r="S18" s="6">
        <f t="shared" si="7"/>
        <v>140</v>
      </c>
      <c r="T18" s="6">
        <f t="shared" si="8"/>
        <v>2</v>
      </c>
    </row>
    <row r="19">
      <c r="A19" s="6">
        <v>18.0</v>
      </c>
      <c r="B19" s="6" t="s">
        <v>12</v>
      </c>
      <c r="C19" s="6">
        <v>120.0</v>
      </c>
      <c r="D19" s="6">
        <v>1.0</v>
      </c>
      <c r="F19" s="6" t="s">
        <v>11</v>
      </c>
      <c r="G19" s="6">
        <v>3.0</v>
      </c>
      <c r="H19" s="15">
        <f t="shared" si="9"/>
        <v>70</v>
      </c>
      <c r="I19" s="15">
        <f t="shared" si="10"/>
        <v>1</v>
      </c>
      <c r="Q19" s="6" t="s">
        <v>11</v>
      </c>
      <c r="R19" s="6">
        <v>3.0</v>
      </c>
      <c r="S19" s="6">
        <f t="shared" si="7"/>
        <v>70</v>
      </c>
      <c r="T19" s="6">
        <f t="shared" si="8"/>
        <v>1</v>
      </c>
    </row>
    <row r="20">
      <c r="A20" s="6">
        <v>19.0</v>
      </c>
      <c r="B20" s="6" t="s">
        <v>14</v>
      </c>
      <c r="C20" s="6">
        <v>95.0</v>
      </c>
      <c r="D20" s="6">
        <v>2.0</v>
      </c>
      <c r="F20" s="6" t="s">
        <v>15</v>
      </c>
      <c r="G20" s="6">
        <v>1.0</v>
      </c>
      <c r="H20" s="15">
        <f t="shared" ref="H20:H22" si="11">SUMIFS(C:C,B:B,"Influencer",D:D,G20)</f>
        <v>220</v>
      </c>
      <c r="I20" s="15">
        <f t="shared" ref="I20:I22" si="12">COUNTIFS(B:B,"Influencer",D:D,G20)</f>
        <v>1</v>
      </c>
      <c r="Q20" s="6" t="s">
        <v>15</v>
      </c>
      <c r="R20" s="6">
        <v>1.0</v>
      </c>
      <c r="S20" s="6">
        <f t="shared" si="7"/>
        <v>220</v>
      </c>
      <c r="T20" s="6">
        <f t="shared" si="8"/>
        <v>1</v>
      </c>
    </row>
    <row r="21">
      <c r="A21" s="6">
        <v>20.0</v>
      </c>
      <c r="B21" s="6" t="s">
        <v>15</v>
      </c>
      <c r="C21" s="6">
        <v>260.0</v>
      </c>
      <c r="D21" s="6">
        <v>3.0</v>
      </c>
      <c r="F21" s="6" t="s">
        <v>15</v>
      </c>
      <c r="G21" s="6">
        <v>2.0</v>
      </c>
      <c r="H21" s="15">
        <f t="shared" si="11"/>
        <v>450</v>
      </c>
      <c r="I21" s="15">
        <f t="shared" si="12"/>
        <v>2</v>
      </c>
      <c r="Q21" s="6" t="s">
        <v>15</v>
      </c>
      <c r="R21" s="6">
        <v>2.0</v>
      </c>
      <c r="S21" s="6">
        <f t="shared" si="7"/>
        <v>450</v>
      </c>
      <c r="T21" s="6">
        <f t="shared" si="8"/>
        <v>2</v>
      </c>
    </row>
    <row r="22">
      <c r="A22" s="6">
        <v>21.0</v>
      </c>
      <c r="B22" s="6" t="s">
        <v>12</v>
      </c>
      <c r="C22" s="6">
        <v>115.0</v>
      </c>
      <c r="D22" s="6">
        <v>3.0</v>
      </c>
      <c r="F22" s="6" t="s">
        <v>15</v>
      </c>
      <c r="G22" s="6">
        <v>3.0</v>
      </c>
      <c r="H22" s="15">
        <f t="shared" si="11"/>
        <v>710</v>
      </c>
      <c r="I22" s="15">
        <f t="shared" si="12"/>
        <v>3</v>
      </c>
      <c r="Q22" s="6" t="s">
        <v>15</v>
      </c>
      <c r="R22" s="6">
        <v>3.0</v>
      </c>
      <c r="S22" s="6">
        <f t="shared" si="7"/>
        <v>710</v>
      </c>
      <c r="T22" s="6">
        <f t="shared" si="8"/>
        <v>3</v>
      </c>
    </row>
    <row r="23">
      <c r="A23" s="6">
        <v>22.0</v>
      </c>
      <c r="B23" s="6" t="s">
        <v>13</v>
      </c>
      <c r="C23" s="6">
        <v>165.0</v>
      </c>
      <c r="D23" s="6">
        <v>1.0</v>
      </c>
      <c r="F23" s="6" t="s">
        <v>13</v>
      </c>
      <c r="G23" s="6">
        <v>1.0</v>
      </c>
      <c r="H23" s="15">
        <f t="shared" ref="H23:H25" si="13">SUMIFS(C:C,B:B,"PPC",D:D,G23)</f>
        <v>165</v>
      </c>
      <c r="I23" s="15">
        <f t="shared" ref="I23:I25" si="14">COUNTIFS(B:B,"PPC",D:D,G23)</f>
        <v>1</v>
      </c>
      <c r="Q23" s="6" t="s">
        <v>13</v>
      </c>
      <c r="R23" s="6">
        <v>1.0</v>
      </c>
      <c r="S23" s="6">
        <f t="shared" si="7"/>
        <v>165</v>
      </c>
      <c r="T23" s="6">
        <f t="shared" si="8"/>
        <v>1</v>
      </c>
    </row>
    <row r="24">
      <c r="A24" s="6">
        <v>23.0</v>
      </c>
      <c r="B24" s="6" t="s">
        <v>14</v>
      </c>
      <c r="C24" s="6">
        <v>85.0</v>
      </c>
      <c r="D24" s="6">
        <v>2.0</v>
      </c>
      <c r="F24" s="6" t="s">
        <v>13</v>
      </c>
      <c r="G24" s="6">
        <v>2.0</v>
      </c>
      <c r="H24" s="15">
        <f t="shared" si="13"/>
        <v>435</v>
      </c>
      <c r="I24" s="15">
        <f t="shared" si="14"/>
        <v>3</v>
      </c>
      <c r="Q24" s="6" t="s">
        <v>13</v>
      </c>
      <c r="R24" s="6">
        <v>2.0</v>
      </c>
      <c r="S24" s="6">
        <f t="shared" si="7"/>
        <v>435</v>
      </c>
      <c r="T24" s="6">
        <f t="shared" si="8"/>
        <v>3</v>
      </c>
    </row>
    <row r="25">
      <c r="A25" s="6">
        <v>24.0</v>
      </c>
      <c r="B25" s="6" t="s">
        <v>11</v>
      </c>
      <c r="C25" s="6">
        <v>65.0</v>
      </c>
      <c r="D25" s="6">
        <v>1.0</v>
      </c>
      <c r="F25" s="6" t="s">
        <v>13</v>
      </c>
      <c r="G25" s="6">
        <v>3.0</v>
      </c>
      <c r="H25" s="15">
        <f t="shared" si="13"/>
        <v>335</v>
      </c>
      <c r="I25" s="15">
        <f t="shared" si="14"/>
        <v>2</v>
      </c>
      <c r="Q25" s="6" t="s">
        <v>13</v>
      </c>
      <c r="R25" s="6">
        <v>3.0</v>
      </c>
      <c r="S25" s="6">
        <f t="shared" si="7"/>
        <v>335</v>
      </c>
      <c r="T25" s="6">
        <f t="shared" si="8"/>
        <v>2</v>
      </c>
    </row>
    <row r="26">
      <c r="A26" s="6">
        <v>25.0</v>
      </c>
      <c r="B26" s="6" t="s">
        <v>15</v>
      </c>
      <c r="C26" s="6">
        <v>240.0</v>
      </c>
      <c r="D26" s="6">
        <v>2.0</v>
      </c>
      <c r="F26" s="6" t="s">
        <v>12</v>
      </c>
      <c r="G26" s="6">
        <v>1.0</v>
      </c>
      <c r="H26" s="15">
        <f t="shared" ref="H26:H28" si="15">SUMIFS(C:C,B:B,"Social Media",D:D,G26)</f>
        <v>220</v>
      </c>
      <c r="I26" s="15">
        <f t="shared" ref="I26:I28" si="16">COUNTIFS(B:B,"Social Media",D:D,G26)</f>
        <v>2</v>
      </c>
      <c r="Q26" s="6" t="s">
        <v>12</v>
      </c>
      <c r="R26" s="6">
        <v>1.0</v>
      </c>
      <c r="S26" s="6">
        <f t="shared" si="7"/>
        <v>220</v>
      </c>
      <c r="T26" s="6">
        <f t="shared" si="8"/>
        <v>2</v>
      </c>
    </row>
    <row r="27">
      <c r="A27" s="6">
        <v>26.0</v>
      </c>
      <c r="B27" s="6" t="s">
        <v>14</v>
      </c>
      <c r="C27" s="6">
        <v>75.0</v>
      </c>
      <c r="D27" s="6">
        <v>1.0</v>
      </c>
      <c r="F27" s="6" t="s">
        <v>12</v>
      </c>
      <c r="G27" s="6">
        <v>2.0</v>
      </c>
      <c r="H27" s="15">
        <f t="shared" si="15"/>
        <v>200</v>
      </c>
      <c r="I27" s="15">
        <f t="shared" si="16"/>
        <v>2</v>
      </c>
      <c r="Q27" s="6" t="s">
        <v>12</v>
      </c>
      <c r="R27" s="6">
        <v>2.0</v>
      </c>
      <c r="S27" s="6">
        <f t="shared" si="7"/>
        <v>200</v>
      </c>
      <c r="T27" s="6">
        <f t="shared" si="8"/>
        <v>2</v>
      </c>
    </row>
    <row r="28">
      <c r="A28" s="6">
        <v>27.0</v>
      </c>
      <c r="B28" s="6" t="s">
        <v>12</v>
      </c>
      <c r="C28" s="6">
        <v>125.0</v>
      </c>
      <c r="D28" s="6">
        <v>3.0</v>
      </c>
      <c r="F28" s="6" t="s">
        <v>12</v>
      </c>
      <c r="G28" s="6">
        <v>3.0</v>
      </c>
      <c r="H28" s="15">
        <f t="shared" si="15"/>
        <v>240</v>
      </c>
      <c r="I28" s="15">
        <f t="shared" si="16"/>
        <v>2</v>
      </c>
      <c r="Q28" s="6" t="s">
        <v>12</v>
      </c>
      <c r="R28" s="6">
        <v>3.0</v>
      </c>
      <c r="S28" s="6">
        <f t="shared" si="7"/>
        <v>240</v>
      </c>
      <c r="T28" s="6">
        <f t="shared" si="8"/>
        <v>2</v>
      </c>
    </row>
    <row r="29">
      <c r="A29" s="6">
        <v>28.0</v>
      </c>
      <c r="B29" s="6" t="s">
        <v>11</v>
      </c>
      <c r="C29" s="6">
        <v>80.0</v>
      </c>
      <c r="D29" s="6">
        <v>2.0</v>
      </c>
    </row>
    <row r="30">
      <c r="A30" s="6">
        <v>29.0</v>
      </c>
      <c r="B30" s="6" t="s">
        <v>13</v>
      </c>
      <c r="C30" s="6">
        <v>175.0</v>
      </c>
      <c r="D30" s="6">
        <v>3.0</v>
      </c>
    </row>
    <row r="31">
      <c r="A31" s="6">
        <v>30.0</v>
      </c>
      <c r="B31" s="6" t="s">
        <v>15</v>
      </c>
      <c r="C31" s="6">
        <v>220.0</v>
      </c>
      <c r="D31" s="6">
        <v>1.0</v>
      </c>
    </row>
  </sheetData>
  <mergeCells count="2">
    <mergeCell ref="F12:I12"/>
    <mergeCell ref="Q12:T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6.13"/>
    <col customWidth="1" min="3" max="3" width="7.63"/>
    <col customWidth="1" min="4" max="4" width="9.38"/>
    <col customWidth="1" min="5" max="5" width="10.38"/>
    <col customWidth="1" min="6" max="6" width="24.88"/>
    <col customWidth="1" min="8" max="8" width="16.13"/>
    <col customWidth="1" min="9" max="9" width="12.38"/>
    <col customWidth="1" min="10" max="10" width="14.25"/>
    <col customWidth="1" min="11" max="11" width="18.25"/>
    <col customWidth="1" min="12" max="12" width="23.25"/>
    <col customWidth="1" min="13" max="13" width="14.75"/>
  </cols>
  <sheetData>
    <row r="1">
      <c r="A1" s="1" t="s">
        <v>28</v>
      </c>
      <c r="B1" s="1" t="s">
        <v>29</v>
      </c>
      <c r="C1" s="1" t="s">
        <v>4</v>
      </c>
      <c r="D1" s="1" t="s">
        <v>5</v>
      </c>
      <c r="E1" s="1" t="s">
        <v>35</v>
      </c>
      <c r="F1" s="1" t="s">
        <v>36</v>
      </c>
      <c r="G1" s="4"/>
      <c r="H1" s="4" t="s">
        <v>29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/>
      <c r="O1" s="4"/>
      <c r="P1" s="4"/>
      <c r="Q1" s="4"/>
      <c r="R1" s="4"/>
      <c r="S1" s="4"/>
    </row>
    <row r="2">
      <c r="A2" s="6">
        <v>1.0</v>
      </c>
      <c r="B2" s="6" t="s">
        <v>11</v>
      </c>
      <c r="C2" s="6">
        <v>1.0</v>
      </c>
      <c r="D2" s="6">
        <v>0.0</v>
      </c>
      <c r="E2" s="6">
        <v>0.0</v>
      </c>
      <c r="H2" s="15" t="s">
        <v>14</v>
      </c>
      <c r="I2" s="15">
        <f t="shared" ref="I2:I6" si="1">SUMIF(B:B,H2,C:C)</f>
        <v>15</v>
      </c>
      <c r="J2" s="15">
        <f t="shared" ref="J2:J6" si="2">SUMIF(B:B,H2,D:D)</f>
        <v>0</v>
      </c>
      <c r="K2" s="15">
        <f t="shared" ref="K2:K6" si="3">IF(J2=0,0,SUMIF(B:B,H2,E:E)/J2)</f>
        <v>0</v>
      </c>
      <c r="L2" s="15">
        <f t="shared" ref="L2:L6" si="4">IF(J2=0,0, SUMIF(B:B,H2,F:F)/J2)</f>
        <v>0</v>
      </c>
      <c r="M2" s="19">
        <f t="shared" ref="M2:M6" si="5">IF(J2=0,0,(J2/I2)*100)</f>
        <v>0</v>
      </c>
    </row>
    <row r="3">
      <c r="A3" s="6">
        <v>2.0</v>
      </c>
      <c r="B3" s="6" t="s">
        <v>12</v>
      </c>
      <c r="C3" s="6">
        <v>1.0</v>
      </c>
      <c r="D3" s="6">
        <v>0.0</v>
      </c>
      <c r="E3" s="6">
        <v>0.0</v>
      </c>
      <c r="H3" s="15" t="s">
        <v>11</v>
      </c>
      <c r="I3" s="15">
        <f t="shared" si="1"/>
        <v>15</v>
      </c>
      <c r="J3" s="15">
        <f t="shared" si="2"/>
        <v>0</v>
      </c>
      <c r="K3" s="15">
        <f t="shared" si="3"/>
        <v>0</v>
      </c>
      <c r="L3" s="15">
        <f t="shared" si="4"/>
        <v>0</v>
      </c>
      <c r="M3" s="19">
        <f t="shared" si="5"/>
        <v>0</v>
      </c>
    </row>
    <row r="4">
      <c r="A4" s="6">
        <v>3.0</v>
      </c>
      <c r="B4" s="6" t="s">
        <v>13</v>
      </c>
      <c r="C4" s="6">
        <v>1.0</v>
      </c>
      <c r="D4" s="6">
        <v>0.0</v>
      </c>
      <c r="E4" s="6">
        <v>0.0</v>
      </c>
      <c r="H4" s="15" t="s">
        <v>15</v>
      </c>
      <c r="I4" s="15">
        <f t="shared" si="1"/>
        <v>15</v>
      </c>
      <c r="J4" s="15">
        <f t="shared" si="2"/>
        <v>20</v>
      </c>
      <c r="K4" s="15">
        <f t="shared" si="3"/>
        <v>50</v>
      </c>
      <c r="L4" s="15">
        <f t="shared" si="4"/>
        <v>4.15</v>
      </c>
      <c r="M4" s="19">
        <f t="shared" si="5"/>
        <v>133.3333333</v>
      </c>
    </row>
    <row r="5">
      <c r="A5" s="6">
        <v>4.0</v>
      </c>
      <c r="B5" s="6" t="s">
        <v>14</v>
      </c>
      <c r="C5" s="6">
        <v>0.0</v>
      </c>
      <c r="D5" s="6">
        <v>0.0</v>
      </c>
      <c r="E5" s="6">
        <v>0.0</v>
      </c>
      <c r="H5" s="15" t="s">
        <v>13</v>
      </c>
      <c r="I5" s="15">
        <f t="shared" si="1"/>
        <v>15</v>
      </c>
      <c r="J5" s="15">
        <f t="shared" si="2"/>
        <v>0</v>
      </c>
      <c r="K5" s="15">
        <f t="shared" si="3"/>
        <v>0</v>
      </c>
      <c r="L5" s="15">
        <f t="shared" si="4"/>
        <v>0</v>
      </c>
      <c r="M5" s="19">
        <f t="shared" si="5"/>
        <v>0</v>
      </c>
    </row>
    <row r="6">
      <c r="A6" s="6">
        <v>5.0</v>
      </c>
      <c r="B6" s="6" t="s">
        <v>15</v>
      </c>
      <c r="C6" s="6">
        <v>1.0</v>
      </c>
      <c r="D6" s="6">
        <v>1.0</v>
      </c>
      <c r="E6" s="6">
        <v>50.0</v>
      </c>
      <c r="F6" s="6">
        <v>6.0</v>
      </c>
      <c r="H6" s="15" t="s">
        <v>12</v>
      </c>
      <c r="I6" s="15">
        <f t="shared" si="1"/>
        <v>15</v>
      </c>
      <c r="J6" s="15">
        <f t="shared" si="2"/>
        <v>0</v>
      </c>
      <c r="K6" s="15">
        <f t="shared" si="3"/>
        <v>0</v>
      </c>
      <c r="L6" s="15">
        <f t="shared" si="4"/>
        <v>0</v>
      </c>
      <c r="M6" s="19">
        <f t="shared" si="5"/>
        <v>0</v>
      </c>
    </row>
    <row r="7">
      <c r="A7" s="6">
        <v>6.0</v>
      </c>
      <c r="B7" s="6" t="s">
        <v>11</v>
      </c>
      <c r="C7" s="6">
        <v>1.0</v>
      </c>
      <c r="D7" s="6">
        <v>0.0</v>
      </c>
      <c r="E7" s="6">
        <v>0.0</v>
      </c>
    </row>
    <row r="8">
      <c r="A8" s="6">
        <v>7.0</v>
      </c>
      <c r="B8" s="6" t="s">
        <v>12</v>
      </c>
      <c r="C8" s="6">
        <v>1.0</v>
      </c>
      <c r="D8" s="6">
        <v>0.0</v>
      </c>
      <c r="E8" s="6">
        <v>0.0</v>
      </c>
    </row>
    <row r="9">
      <c r="A9" s="6">
        <v>8.0</v>
      </c>
      <c r="B9" s="6" t="s">
        <v>13</v>
      </c>
      <c r="C9" s="6">
        <v>0.0</v>
      </c>
      <c r="D9" s="6">
        <v>0.0</v>
      </c>
      <c r="E9" s="6">
        <v>0.0</v>
      </c>
    </row>
    <row r="10">
      <c r="A10" s="6">
        <v>9.0</v>
      </c>
      <c r="B10" s="6" t="s">
        <v>14</v>
      </c>
      <c r="C10" s="6">
        <v>1.0</v>
      </c>
      <c r="D10" s="6">
        <v>0.0</v>
      </c>
      <c r="E10" s="6">
        <v>0.0</v>
      </c>
    </row>
    <row r="11">
      <c r="A11" s="6">
        <v>10.0</v>
      </c>
      <c r="B11" s="6" t="s">
        <v>15</v>
      </c>
      <c r="C11" s="6">
        <v>1.0</v>
      </c>
      <c r="D11" s="6">
        <v>1.0</v>
      </c>
      <c r="E11" s="6">
        <v>50.0</v>
      </c>
      <c r="F11" s="6">
        <v>4.0</v>
      </c>
    </row>
    <row r="12">
      <c r="A12" s="6">
        <v>11.0</v>
      </c>
      <c r="B12" s="6" t="s">
        <v>11</v>
      </c>
      <c r="C12" s="6">
        <v>1.0</v>
      </c>
      <c r="D12" s="6">
        <v>0.0</v>
      </c>
      <c r="E12" s="6">
        <v>0.0</v>
      </c>
    </row>
    <row r="13">
      <c r="A13" s="6">
        <v>12.0</v>
      </c>
      <c r="B13" s="6" t="s">
        <v>12</v>
      </c>
      <c r="C13" s="6">
        <v>0.0</v>
      </c>
      <c r="D13" s="6">
        <v>0.0</v>
      </c>
      <c r="E13" s="6">
        <v>0.0</v>
      </c>
    </row>
    <row r="14">
      <c r="A14" s="6">
        <v>13.0</v>
      </c>
      <c r="B14" s="6" t="s">
        <v>13</v>
      </c>
      <c r="C14" s="6">
        <v>1.0</v>
      </c>
      <c r="D14" s="6">
        <v>0.0</v>
      </c>
      <c r="E14" s="6">
        <v>0.0</v>
      </c>
    </row>
    <row r="15">
      <c r="A15" s="6">
        <v>14.0</v>
      </c>
      <c r="B15" s="6" t="s">
        <v>14</v>
      </c>
      <c r="C15" s="6">
        <v>1.0</v>
      </c>
      <c r="D15" s="6">
        <v>0.0</v>
      </c>
      <c r="E15" s="6">
        <v>0.0</v>
      </c>
    </row>
    <row r="16">
      <c r="A16" s="6">
        <v>15.0</v>
      </c>
      <c r="B16" s="6" t="s">
        <v>15</v>
      </c>
      <c r="C16" s="6">
        <v>1.0</v>
      </c>
      <c r="D16" s="6">
        <v>1.0</v>
      </c>
      <c r="E16" s="6">
        <v>50.0</v>
      </c>
      <c r="F16" s="6">
        <v>2.0</v>
      </c>
    </row>
    <row r="17">
      <c r="A17" s="6">
        <v>16.0</v>
      </c>
      <c r="B17" s="6" t="s">
        <v>11</v>
      </c>
      <c r="C17" s="6">
        <v>0.0</v>
      </c>
      <c r="D17" s="6">
        <v>0.0</v>
      </c>
      <c r="E17" s="6">
        <v>0.0</v>
      </c>
    </row>
    <row r="18">
      <c r="A18" s="6">
        <v>17.0</v>
      </c>
      <c r="B18" s="6" t="s">
        <v>12</v>
      </c>
      <c r="C18" s="6">
        <v>1.0</v>
      </c>
      <c r="D18" s="6">
        <v>0.0</v>
      </c>
      <c r="E18" s="6">
        <v>0.0</v>
      </c>
    </row>
    <row r="19">
      <c r="A19" s="6">
        <v>18.0</v>
      </c>
      <c r="B19" s="6" t="s">
        <v>13</v>
      </c>
      <c r="C19" s="6">
        <v>1.0</v>
      </c>
      <c r="D19" s="6">
        <v>0.0</v>
      </c>
      <c r="E19" s="6">
        <v>0.0</v>
      </c>
    </row>
    <row r="20">
      <c r="A20" s="6">
        <v>19.0</v>
      </c>
      <c r="B20" s="6" t="s">
        <v>14</v>
      </c>
      <c r="C20" s="6">
        <v>1.0</v>
      </c>
      <c r="D20" s="6">
        <v>0.0</v>
      </c>
      <c r="E20" s="6">
        <v>0.0</v>
      </c>
    </row>
    <row r="21">
      <c r="A21" s="6">
        <v>20.0</v>
      </c>
      <c r="B21" s="6" t="s">
        <v>15</v>
      </c>
      <c r="C21" s="6">
        <v>0.0</v>
      </c>
      <c r="D21" s="6">
        <v>1.0</v>
      </c>
      <c r="E21" s="6">
        <v>50.0</v>
      </c>
      <c r="F21" s="6">
        <v>7.0</v>
      </c>
    </row>
    <row r="22">
      <c r="A22" s="6">
        <v>21.0</v>
      </c>
      <c r="B22" s="6" t="s">
        <v>11</v>
      </c>
      <c r="C22" s="6">
        <v>1.0</v>
      </c>
      <c r="D22" s="6">
        <v>0.0</v>
      </c>
      <c r="E22" s="6">
        <v>0.0</v>
      </c>
    </row>
    <row r="23">
      <c r="A23" s="6">
        <v>22.0</v>
      </c>
      <c r="B23" s="6" t="s">
        <v>12</v>
      </c>
      <c r="C23" s="6">
        <v>1.0</v>
      </c>
      <c r="D23" s="6">
        <v>0.0</v>
      </c>
      <c r="E23" s="6">
        <v>0.0</v>
      </c>
    </row>
    <row r="24">
      <c r="A24" s="6">
        <v>23.0</v>
      </c>
      <c r="B24" s="6" t="s">
        <v>13</v>
      </c>
      <c r="C24" s="6">
        <v>1.0</v>
      </c>
      <c r="D24" s="6">
        <v>0.0</v>
      </c>
      <c r="E24" s="6">
        <v>0.0</v>
      </c>
    </row>
    <row r="25">
      <c r="A25" s="6">
        <v>24.0</v>
      </c>
      <c r="B25" s="6" t="s">
        <v>14</v>
      </c>
      <c r="C25" s="6">
        <v>0.0</v>
      </c>
      <c r="D25" s="6">
        <v>0.0</v>
      </c>
      <c r="E25" s="6">
        <v>0.0</v>
      </c>
    </row>
    <row r="26">
      <c r="A26" s="6">
        <v>25.0</v>
      </c>
      <c r="B26" s="6" t="s">
        <v>15</v>
      </c>
      <c r="C26" s="6">
        <v>1.0</v>
      </c>
      <c r="D26" s="6">
        <v>1.0</v>
      </c>
      <c r="E26" s="6">
        <v>50.0</v>
      </c>
      <c r="F26" s="6">
        <v>5.0</v>
      </c>
    </row>
    <row r="27">
      <c r="A27" s="6">
        <v>26.0</v>
      </c>
      <c r="B27" s="6" t="s">
        <v>11</v>
      </c>
      <c r="C27" s="6">
        <v>1.0</v>
      </c>
      <c r="D27" s="6">
        <v>0.0</v>
      </c>
      <c r="E27" s="6">
        <v>0.0</v>
      </c>
    </row>
    <row r="28">
      <c r="A28" s="6">
        <v>27.0</v>
      </c>
      <c r="B28" s="6" t="s">
        <v>12</v>
      </c>
      <c r="C28" s="6">
        <v>1.0</v>
      </c>
      <c r="D28" s="6">
        <v>0.0</v>
      </c>
      <c r="E28" s="6">
        <v>0.0</v>
      </c>
    </row>
    <row r="29">
      <c r="A29" s="6">
        <v>28.0</v>
      </c>
      <c r="B29" s="6" t="s">
        <v>13</v>
      </c>
      <c r="C29" s="6">
        <v>0.0</v>
      </c>
      <c r="D29" s="6">
        <v>0.0</v>
      </c>
      <c r="E29" s="6">
        <v>0.0</v>
      </c>
    </row>
    <row r="30">
      <c r="A30" s="6">
        <v>29.0</v>
      </c>
      <c r="B30" s="6" t="s">
        <v>14</v>
      </c>
      <c r="C30" s="6">
        <v>1.0</v>
      </c>
      <c r="D30" s="6">
        <v>0.0</v>
      </c>
      <c r="E30" s="6">
        <v>0.0</v>
      </c>
    </row>
    <row r="31">
      <c r="A31" s="6">
        <v>30.0</v>
      </c>
      <c r="B31" s="6" t="s">
        <v>15</v>
      </c>
      <c r="C31" s="6">
        <v>1.0</v>
      </c>
      <c r="D31" s="6">
        <v>1.0</v>
      </c>
      <c r="E31" s="6">
        <v>50.0</v>
      </c>
      <c r="F31" s="6">
        <v>3.0</v>
      </c>
    </row>
    <row r="32">
      <c r="A32" s="6">
        <v>31.0</v>
      </c>
      <c r="B32" s="6" t="s">
        <v>11</v>
      </c>
      <c r="C32" s="6">
        <v>1.0</v>
      </c>
      <c r="D32" s="6">
        <v>0.0</v>
      </c>
      <c r="E32" s="6">
        <v>0.0</v>
      </c>
    </row>
    <row r="33">
      <c r="A33" s="6">
        <v>32.0</v>
      </c>
      <c r="B33" s="6" t="s">
        <v>12</v>
      </c>
      <c r="C33" s="6">
        <v>0.0</v>
      </c>
      <c r="D33" s="6">
        <v>0.0</v>
      </c>
      <c r="E33" s="6">
        <v>0.0</v>
      </c>
    </row>
    <row r="34">
      <c r="A34" s="6">
        <v>33.0</v>
      </c>
      <c r="B34" s="6" t="s">
        <v>13</v>
      </c>
      <c r="C34" s="6">
        <v>1.0</v>
      </c>
      <c r="D34" s="6">
        <v>0.0</v>
      </c>
      <c r="E34" s="6">
        <v>0.0</v>
      </c>
    </row>
    <row r="35">
      <c r="A35" s="6">
        <v>34.0</v>
      </c>
      <c r="B35" s="6" t="s">
        <v>14</v>
      </c>
      <c r="C35" s="6">
        <v>1.0</v>
      </c>
      <c r="D35" s="6">
        <v>0.0</v>
      </c>
      <c r="E35" s="6">
        <v>0.0</v>
      </c>
    </row>
    <row r="36">
      <c r="A36" s="6">
        <v>35.0</v>
      </c>
      <c r="B36" s="6" t="s">
        <v>15</v>
      </c>
      <c r="C36" s="6">
        <v>1.0</v>
      </c>
      <c r="D36" s="6">
        <v>1.0</v>
      </c>
      <c r="E36" s="6">
        <v>50.0</v>
      </c>
      <c r="F36" s="6">
        <v>1.0</v>
      </c>
    </row>
    <row r="37">
      <c r="A37" s="6">
        <v>36.0</v>
      </c>
      <c r="B37" s="6" t="s">
        <v>11</v>
      </c>
      <c r="C37" s="6">
        <v>0.0</v>
      </c>
      <c r="D37" s="6">
        <v>0.0</v>
      </c>
      <c r="E37" s="6">
        <v>0.0</v>
      </c>
    </row>
    <row r="38">
      <c r="A38" s="6">
        <v>37.0</v>
      </c>
      <c r="B38" s="6" t="s">
        <v>12</v>
      </c>
      <c r="C38" s="6">
        <v>1.0</v>
      </c>
      <c r="D38" s="6">
        <v>0.0</v>
      </c>
      <c r="E38" s="6">
        <v>0.0</v>
      </c>
    </row>
    <row r="39">
      <c r="A39" s="6">
        <v>38.0</v>
      </c>
      <c r="B39" s="6" t="s">
        <v>13</v>
      </c>
      <c r="C39" s="6">
        <v>1.0</v>
      </c>
      <c r="D39" s="6">
        <v>0.0</v>
      </c>
      <c r="E39" s="6">
        <v>0.0</v>
      </c>
    </row>
    <row r="40">
      <c r="A40" s="6">
        <v>39.0</v>
      </c>
      <c r="B40" s="6" t="s">
        <v>14</v>
      </c>
      <c r="C40" s="6">
        <v>1.0</v>
      </c>
      <c r="D40" s="6">
        <v>0.0</v>
      </c>
      <c r="E40" s="6">
        <v>0.0</v>
      </c>
    </row>
    <row r="41">
      <c r="A41" s="6">
        <v>40.0</v>
      </c>
      <c r="B41" s="6" t="s">
        <v>15</v>
      </c>
      <c r="C41" s="6">
        <v>0.0</v>
      </c>
      <c r="D41" s="6">
        <v>1.0</v>
      </c>
      <c r="E41" s="6">
        <v>50.0</v>
      </c>
      <c r="F41" s="6">
        <v>6.0</v>
      </c>
    </row>
    <row r="42">
      <c r="A42" s="6">
        <v>41.0</v>
      </c>
      <c r="B42" s="6" t="s">
        <v>11</v>
      </c>
      <c r="C42" s="6">
        <v>1.0</v>
      </c>
      <c r="D42" s="6">
        <v>0.0</v>
      </c>
      <c r="E42" s="6">
        <v>0.0</v>
      </c>
    </row>
    <row r="43">
      <c r="A43" s="6">
        <v>42.0</v>
      </c>
      <c r="B43" s="6" t="s">
        <v>12</v>
      </c>
      <c r="C43" s="6">
        <v>1.0</v>
      </c>
      <c r="D43" s="6">
        <v>0.0</v>
      </c>
      <c r="E43" s="6">
        <v>0.0</v>
      </c>
    </row>
    <row r="44">
      <c r="A44" s="6">
        <v>43.0</v>
      </c>
      <c r="B44" s="6" t="s">
        <v>13</v>
      </c>
      <c r="C44" s="6">
        <v>1.0</v>
      </c>
      <c r="D44" s="6">
        <v>0.0</v>
      </c>
      <c r="E44" s="6">
        <v>0.0</v>
      </c>
    </row>
    <row r="45">
      <c r="A45" s="6">
        <v>44.0</v>
      </c>
      <c r="B45" s="6" t="s">
        <v>14</v>
      </c>
      <c r="C45" s="6">
        <v>0.0</v>
      </c>
      <c r="D45" s="6">
        <v>0.0</v>
      </c>
      <c r="E45" s="6">
        <v>0.0</v>
      </c>
    </row>
    <row r="46">
      <c r="A46" s="6">
        <v>45.0</v>
      </c>
      <c r="B46" s="6" t="s">
        <v>15</v>
      </c>
      <c r="C46" s="6">
        <v>1.0</v>
      </c>
      <c r="D46" s="6">
        <v>1.0</v>
      </c>
      <c r="E46" s="6">
        <v>50.0</v>
      </c>
      <c r="F46" s="6">
        <v>4.0</v>
      </c>
    </row>
    <row r="47">
      <c r="A47" s="6">
        <v>46.0</v>
      </c>
      <c r="B47" s="6" t="s">
        <v>11</v>
      </c>
      <c r="C47" s="6">
        <v>1.0</v>
      </c>
      <c r="D47" s="6">
        <v>0.0</v>
      </c>
      <c r="E47" s="6">
        <v>0.0</v>
      </c>
    </row>
    <row r="48">
      <c r="A48" s="6">
        <v>47.0</v>
      </c>
      <c r="B48" s="6" t="s">
        <v>12</v>
      </c>
      <c r="C48" s="6">
        <v>1.0</v>
      </c>
      <c r="D48" s="6">
        <v>0.0</v>
      </c>
      <c r="E48" s="6">
        <v>0.0</v>
      </c>
    </row>
    <row r="49">
      <c r="A49" s="6">
        <v>48.0</v>
      </c>
      <c r="B49" s="6" t="s">
        <v>13</v>
      </c>
      <c r="C49" s="6">
        <v>0.0</v>
      </c>
      <c r="D49" s="6">
        <v>0.0</v>
      </c>
      <c r="E49" s="6">
        <v>0.0</v>
      </c>
    </row>
    <row r="50">
      <c r="A50" s="6">
        <v>49.0</v>
      </c>
      <c r="B50" s="6" t="s">
        <v>14</v>
      </c>
      <c r="C50" s="6">
        <v>1.0</v>
      </c>
      <c r="D50" s="6">
        <v>0.0</v>
      </c>
      <c r="E50" s="6">
        <v>0.0</v>
      </c>
    </row>
    <row r="51">
      <c r="A51" s="6">
        <v>50.0</v>
      </c>
      <c r="B51" s="6" t="s">
        <v>15</v>
      </c>
      <c r="C51" s="6">
        <v>1.0</v>
      </c>
      <c r="D51" s="6">
        <v>1.0</v>
      </c>
      <c r="E51" s="6">
        <v>50.0</v>
      </c>
      <c r="F51" s="6">
        <v>2.0</v>
      </c>
    </row>
    <row r="52">
      <c r="A52" s="6">
        <v>51.0</v>
      </c>
      <c r="B52" s="6" t="s">
        <v>11</v>
      </c>
      <c r="C52" s="6">
        <v>1.0</v>
      </c>
      <c r="D52" s="6">
        <v>0.0</v>
      </c>
      <c r="E52" s="6">
        <v>0.0</v>
      </c>
    </row>
    <row r="53">
      <c r="A53" s="6">
        <v>52.0</v>
      </c>
      <c r="B53" s="6" t="s">
        <v>12</v>
      </c>
      <c r="C53" s="6">
        <v>0.0</v>
      </c>
      <c r="D53" s="6">
        <v>0.0</v>
      </c>
      <c r="E53" s="6">
        <v>0.0</v>
      </c>
    </row>
    <row r="54">
      <c r="A54" s="6">
        <v>53.0</v>
      </c>
      <c r="B54" s="6" t="s">
        <v>13</v>
      </c>
      <c r="C54" s="6">
        <v>1.0</v>
      </c>
      <c r="D54" s="6">
        <v>0.0</v>
      </c>
      <c r="E54" s="6">
        <v>0.0</v>
      </c>
    </row>
    <row r="55">
      <c r="A55" s="6">
        <v>54.0</v>
      </c>
      <c r="B55" s="6" t="s">
        <v>14</v>
      </c>
      <c r="C55" s="6">
        <v>1.0</v>
      </c>
      <c r="D55" s="6">
        <v>0.0</v>
      </c>
      <c r="E55" s="6">
        <v>0.0</v>
      </c>
    </row>
    <row r="56">
      <c r="A56" s="6">
        <v>55.0</v>
      </c>
      <c r="B56" s="6" t="s">
        <v>15</v>
      </c>
      <c r="C56" s="6">
        <v>1.0</v>
      </c>
      <c r="D56" s="6">
        <v>1.0</v>
      </c>
      <c r="E56" s="6">
        <v>50.0</v>
      </c>
      <c r="F56" s="6">
        <v>7.0</v>
      </c>
    </row>
    <row r="57">
      <c r="A57" s="6">
        <v>56.0</v>
      </c>
      <c r="B57" s="6" t="s">
        <v>11</v>
      </c>
      <c r="C57" s="6">
        <v>0.0</v>
      </c>
      <c r="D57" s="6">
        <v>0.0</v>
      </c>
      <c r="E57" s="6">
        <v>0.0</v>
      </c>
    </row>
    <row r="58">
      <c r="A58" s="6">
        <v>57.0</v>
      </c>
      <c r="B58" s="6" t="s">
        <v>12</v>
      </c>
      <c r="C58" s="6">
        <v>1.0</v>
      </c>
      <c r="D58" s="6">
        <v>0.0</v>
      </c>
      <c r="E58" s="6">
        <v>0.0</v>
      </c>
    </row>
    <row r="59">
      <c r="A59" s="6">
        <v>58.0</v>
      </c>
      <c r="B59" s="6" t="s">
        <v>13</v>
      </c>
      <c r="C59" s="6">
        <v>1.0</v>
      </c>
      <c r="D59" s="6">
        <v>0.0</v>
      </c>
      <c r="E59" s="6">
        <v>0.0</v>
      </c>
    </row>
    <row r="60">
      <c r="A60" s="6">
        <v>59.0</v>
      </c>
      <c r="B60" s="6" t="s">
        <v>14</v>
      </c>
      <c r="C60" s="6">
        <v>1.0</v>
      </c>
      <c r="D60" s="6">
        <v>0.0</v>
      </c>
      <c r="E60" s="6">
        <v>0.0</v>
      </c>
    </row>
    <row r="61">
      <c r="A61" s="6">
        <v>60.0</v>
      </c>
      <c r="B61" s="6" t="s">
        <v>15</v>
      </c>
      <c r="C61" s="6">
        <v>0.0</v>
      </c>
      <c r="D61" s="6">
        <v>1.0</v>
      </c>
      <c r="E61" s="6">
        <v>50.0</v>
      </c>
      <c r="F61" s="6">
        <v>5.0</v>
      </c>
    </row>
    <row r="62">
      <c r="A62" s="6">
        <v>61.0</v>
      </c>
      <c r="B62" s="6" t="s">
        <v>11</v>
      </c>
      <c r="C62" s="6">
        <v>1.0</v>
      </c>
      <c r="D62" s="6">
        <v>0.0</v>
      </c>
      <c r="E62" s="6">
        <v>0.0</v>
      </c>
    </row>
    <row r="63">
      <c r="A63" s="6">
        <v>62.0</v>
      </c>
      <c r="B63" s="6" t="s">
        <v>12</v>
      </c>
      <c r="C63" s="6">
        <v>1.0</v>
      </c>
      <c r="D63" s="6">
        <v>0.0</v>
      </c>
      <c r="E63" s="6">
        <v>0.0</v>
      </c>
    </row>
    <row r="64">
      <c r="A64" s="6">
        <v>63.0</v>
      </c>
      <c r="B64" s="6" t="s">
        <v>13</v>
      </c>
      <c r="C64" s="6">
        <v>1.0</v>
      </c>
      <c r="D64" s="6">
        <v>0.0</v>
      </c>
      <c r="E64" s="6">
        <v>0.0</v>
      </c>
    </row>
    <row r="65">
      <c r="A65" s="6">
        <v>64.0</v>
      </c>
      <c r="B65" s="6" t="s">
        <v>14</v>
      </c>
      <c r="C65" s="6">
        <v>0.0</v>
      </c>
      <c r="D65" s="6">
        <v>0.0</v>
      </c>
      <c r="E65" s="6">
        <v>0.0</v>
      </c>
    </row>
    <row r="66">
      <c r="A66" s="6">
        <v>65.0</v>
      </c>
      <c r="B66" s="6" t="s">
        <v>15</v>
      </c>
      <c r="C66" s="6">
        <v>1.0</v>
      </c>
      <c r="D66" s="6">
        <v>1.0</v>
      </c>
      <c r="E66" s="6">
        <v>50.0</v>
      </c>
      <c r="F66" s="6">
        <v>3.0</v>
      </c>
    </row>
    <row r="67">
      <c r="A67" s="6">
        <v>66.0</v>
      </c>
      <c r="B67" s="6" t="s">
        <v>11</v>
      </c>
      <c r="C67" s="6">
        <v>1.0</v>
      </c>
      <c r="D67" s="6">
        <v>0.0</v>
      </c>
      <c r="E67" s="6">
        <v>0.0</v>
      </c>
    </row>
    <row r="68">
      <c r="A68" s="6">
        <v>67.0</v>
      </c>
      <c r="B68" s="6" t="s">
        <v>12</v>
      </c>
      <c r="C68" s="6">
        <v>1.0</v>
      </c>
      <c r="D68" s="6">
        <v>0.0</v>
      </c>
      <c r="E68" s="6">
        <v>0.0</v>
      </c>
    </row>
    <row r="69">
      <c r="A69" s="6">
        <v>68.0</v>
      </c>
      <c r="B69" s="6" t="s">
        <v>13</v>
      </c>
      <c r="C69" s="6">
        <v>0.0</v>
      </c>
      <c r="D69" s="6">
        <v>0.0</v>
      </c>
      <c r="E69" s="6">
        <v>0.0</v>
      </c>
    </row>
    <row r="70">
      <c r="A70" s="6">
        <v>69.0</v>
      </c>
      <c r="B70" s="6" t="s">
        <v>14</v>
      </c>
      <c r="C70" s="6">
        <v>1.0</v>
      </c>
      <c r="D70" s="6">
        <v>0.0</v>
      </c>
      <c r="E70" s="6">
        <v>0.0</v>
      </c>
    </row>
    <row r="71">
      <c r="A71" s="6">
        <v>70.0</v>
      </c>
      <c r="B71" s="6" t="s">
        <v>15</v>
      </c>
      <c r="C71" s="6">
        <v>1.0</v>
      </c>
      <c r="D71" s="6">
        <v>1.0</v>
      </c>
      <c r="E71" s="6">
        <v>50.0</v>
      </c>
      <c r="F71" s="6">
        <v>1.0</v>
      </c>
    </row>
    <row r="72">
      <c r="A72" s="6">
        <v>71.0</v>
      </c>
      <c r="B72" s="6" t="s">
        <v>11</v>
      </c>
      <c r="C72" s="6">
        <v>1.0</v>
      </c>
      <c r="D72" s="6">
        <v>0.0</v>
      </c>
      <c r="E72" s="6">
        <v>0.0</v>
      </c>
    </row>
    <row r="73">
      <c r="A73" s="6">
        <v>72.0</v>
      </c>
      <c r="B73" s="6" t="s">
        <v>12</v>
      </c>
      <c r="C73" s="6">
        <v>0.0</v>
      </c>
      <c r="D73" s="6">
        <v>0.0</v>
      </c>
      <c r="E73" s="6">
        <v>0.0</v>
      </c>
    </row>
    <row r="74">
      <c r="A74" s="6">
        <v>73.0</v>
      </c>
      <c r="B74" s="6" t="s">
        <v>13</v>
      </c>
      <c r="C74" s="6">
        <v>1.0</v>
      </c>
      <c r="D74" s="6">
        <v>0.0</v>
      </c>
      <c r="E74" s="6">
        <v>0.0</v>
      </c>
    </row>
    <row r="75">
      <c r="A75" s="6">
        <v>74.0</v>
      </c>
      <c r="B75" s="6" t="s">
        <v>14</v>
      </c>
      <c r="C75" s="6">
        <v>1.0</v>
      </c>
      <c r="D75" s="6">
        <v>0.0</v>
      </c>
      <c r="E75" s="6">
        <v>0.0</v>
      </c>
    </row>
    <row r="76">
      <c r="A76" s="6">
        <v>75.0</v>
      </c>
      <c r="B76" s="6" t="s">
        <v>15</v>
      </c>
      <c r="C76" s="6">
        <v>1.0</v>
      </c>
      <c r="D76" s="6">
        <v>1.0</v>
      </c>
      <c r="E76" s="6">
        <v>50.0</v>
      </c>
      <c r="F76" s="6">
        <v>6.0</v>
      </c>
    </row>
    <row r="77">
      <c r="A77" s="6">
        <v>76.0</v>
      </c>
      <c r="B77" s="6" t="s">
        <v>11</v>
      </c>
      <c r="C77" s="6">
        <v>0.0</v>
      </c>
      <c r="D77" s="6">
        <v>0.0</v>
      </c>
      <c r="E77" s="6">
        <v>0.0</v>
      </c>
    </row>
    <row r="78">
      <c r="A78" s="6">
        <v>77.0</v>
      </c>
      <c r="B78" s="6" t="s">
        <v>12</v>
      </c>
      <c r="C78" s="6">
        <v>1.0</v>
      </c>
      <c r="D78" s="6">
        <v>0.0</v>
      </c>
      <c r="E78" s="6">
        <v>0.0</v>
      </c>
    </row>
    <row r="79">
      <c r="A79" s="6">
        <v>78.0</v>
      </c>
      <c r="B79" s="6" t="s">
        <v>13</v>
      </c>
      <c r="C79" s="6">
        <v>1.0</v>
      </c>
      <c r="D79" s="6">
        <v>0.0</v>
      </c>
      <c r="E79" s="6">
        <v>0.0</v>
      </c>
    </row>
    <row r="80">
      <c r="A80" s="6">
        <v>79.0</v>
      </c>
      <c r="B80" s="6" t="s">
        <v>14</v>
      </c>
      <c r="C80" s="6">
        <v>1.0</v>
      </c>
      <c r="D80" s="6">
        <v>0.0</v>
      </c>
      <c r="E80" s="6">
        <v>0.0</v>
      </c>
    </row>
    <row r="81">
      <c r="A81" s="6">
        <v>80.0</v>
      </c>
      <c r="B81" s="6" t="s">
        <v>15</v>
      </c>
      <c r="C81" s="6">
        <v>0.0</v>
      </c>
      <c r="D81" s="6">
        <v>1.0</v>
      </c>
      <c r="E81" s="6">
        <v>50.0</v>
      </c>
      <c r="F81" s="6">
        <v>4.0</v>
      </c>
    </row>
    <row r="82">
      <c r="A82" s="6">
        <v>81.0</v>
      </c>
      <c r="B82" s="6" t="s">
        <v>11</v>
      </c>
      <c r="C82" s="6">
        <v>1.0</v>
      </c>
      <c r="D82" s="6">
        <v>0.0</v>
      </c>
      <c r="E82" s="6">
        <v>0.0</v>
      </c>
    </row>
    <row r="83">
      <c r="A83" s="6">
        <v>82.0</v>
      </c>
      <c r="B83" s="6" t="s">
        <v>12</v>
      </c>
      <c r="C83" s="6">
        <v>1.0</v>
      </c>
      <c r="D83" s="6">
        <v>0.0</v>
      </c>
      <c r="E83" s="6">
        <v>0.0</v>
      </c>
    </row>
    <row r="84">
      <c r="A84" s="6">
        <v>83.0</v>
      </c>
      <c r="B84" s="6" t="s">
        <v>13</v>
      </c>
      <c r="C84" s="6">
        <v>1.0</v>
      </c>
      <c r="D84" s="6">
        <v>0.0</v>
      </c>
      <c r="E84" s="6">
        <v>0.0</v>
      </c>
    </row>
    <row r="85">
      <c r="A85" s="6">
        <v>84.0</v>
      </c>
      <c r="B85" s="6" t="s">
        <v>14</v>
      </c>
      <c r="C85" s="6">
        <v>0.0</v>
      </c>
      <c r="D85" s="6">
        <v>0.0</v>
      </c>
      <c r="E85" s="6">
        <v>0.0</v>
      </c>
    </row>
    <row r="86">
      <c r="A86" s="6">
        <v>85.0</v>
      </c>
      <c r="B86" s="6" t="s">
        <v>15</v>
      </c>
      <c r="C86" s="6">
        <v>1.0</v>
      </c>
      <c r="D86" s="6">
        <v>1.0</v>
      </c>
      <c r="E86" s="6">
        <v>50.0</v>
      </c>
      <c r="F86" s="6">
        <v>2.0</v>
      </c>
    </row>
    <row r="87">
      <c r="A87" s="6">
        <v>86.0</v>
      </c>
      <c r="B87" s="6" t="s">
        <v>11</v>
      </c>
      <c r="C87" s="6">
        <v>1.0</v>
      </c>
      <c r="D87" s="6">
        <v>0.0</v>
      </c>
      <c r="E87" s="6">
        <v>0.0</v>
      </c>
    </row>
    <row r="88">
      <c r="A88" s="6">
        <v>87.0</v>
      </c>
      <c r="B88" s="6" t="s">
        <v>12</v>
      </c>
      <c r="C88" s="6">
        <v>1.0</v>
      </c>
      <c r="D88" s="6">
        <v>0.0</v>
      </c>
      <c r="E88" s="6">
        <v>0.0</v>
      </c>
    </row>
    <row r="89">
      <c r="A89" s="6">
        <v>88.0</v>
      </c>
      <c r="B89" s="6" t="s">
        <v>13</v>
      </c>
      <c r="C89" s="6">
        <v>0.0</v>
      </c>
      <c r="D89" s="6">
        <v>0.0</v>
      </c>
      <c r="E89" s="6">
        <v>0.0</v>
      </c>
    </row>
    <row r="90">
      <c r="A90" s="6">
        <v>89.0</v>
      </c>
      <c r="B90" s="6" t="s">
        <v>14</v>
      </c>
      <c r="C90" s="6">
        <v>1.0</v>
      </c>
      <c r="D90" s="6">
        <v>0.0</v>
      </c>
      <c r="E90" s="6">
        <v>0.0</v>
      </c>
    </row>
    <row r="91">
      <c r="A91" s="6">
        <v>90.0</v>
      </c>
      <c r="B91" s="6" t="s">
        <v>15</v>
      </c>
      <c r="C91" s="6">
        <v>1.0</v>
      </c>
      <c r="D91" s="6">
        <v>1.0</v>
      </c>
      <c r="E91" s="6">
        <v>50.0</v>
      </c>
      <c r="F91" s="6">
        <v>7.0</v>
      </c>
    </row>
    <row r="92">
      <c r="A92" s="6">
        <v>91.0</v>
      </c>
      <c r="B92" s="6" t="s">
        <v>11</v>
      </c>
      <c r="C92" s="6">
        <v>1.0</v>
      </c>
      <c r="D92" s="6">
        <v>0.0</v>
      </c>
      <c r="E92" s="6">
        <v>0.0</v>
      </c>
    </row>
    <row r="93">
      <c r="A93" s="6">
        <v>92.0</v>
      </c>
      <c r="B93" s="6" t="s">
        <v>12</v>
      </c>
      <c r="C93" s="6">
        <v>0.0</v>
      </c>
      <c r="D93" s="6">
        <v>0.0</v>
      </c>
      <c r="E93" s="6">
        <v>0.0</v>
      </c>
    </row>
    <row r="94">
      <c r="A94" s="6">
        <v>93.0</v>
      </c>
      <c r="B94" s="6" t="s">
        <v>13</v>
      </c>
      <c r="C94" s="6">
        <v>1.0</v>
      </c>
      <c r="D94" s="6">
        <v>0.0</v>
      </c>
      <c r="E94" s="6">
        <v>0.0</v>
      </c>
    </row>
    <row r="95">
      <c r="A95" s="6">
        <v>94.0</v>
      </c>
      <c r="B95" s="6" t="s">
        <v>14</v>
      </c>
      <c r="C95" s="6">
        <v>1.0</v>
      </c>
      <c r="D95" s="6">
        <v>0.0</v>
      </c>
      <c r="E95" s="6">
        <v>0.0</v>
      </c>
    </row>
    <row r="96">
      <c r="A96" s="6">
        <v>95.0</v>
      </c>
      <c r="B96" s="6" t="s">
        <v>15</v>
      </c>
      <c r="C96" s="6">
        <v>1.0</v>
      </c>
      <c r="D96" s="6">
        <v>1.0</v>
      </c>
      <c r="E96" s="6">
        <v>50.0</v>
      </c>
      <c r="F96" s="6">
        <v>5.0</v>
      </c>
    </row>
    <row r="97">
      <c r="A97" s="6">
        <v>96.0</v>
      </c>
      <c r="B97" s="6" t="s">
        <v>11</v>
      </c>
      <c r="C97" s="6">
        <v>0.0</v>
      </c>
      <c r="D97" s="6">
        <v>0.0</v>
      </c>
      <c r="E97" s="6">
        <v>0.0</v>
      </c>
    </row>
    <row r="98">
      <c r="A98" s="6">
        <v>97.0</v>
      </c>
      <c r="B98" s="6" t="s">
        <v>12</v>
      </c>
      <c r="C98" s="6">
        <v>1.0</v>
      </c>
      <c r="D98" s="6">
        <v>0.0</v>
      </c>
      <c r="E98" s="6">
        <v>0.0</v>
      </c>
    </row>
    <row r="99">
      <c r="A99" s="6">
        <v>98.0</v>
      </c>
      <c r="B99" s="6" t="s">
        <v>13</v>
      </c>
      <c r="C99" s="6">
        <v>1.0</v>
      </c>
      <c r="D99" s="6">
        <v>0.0</v>
      </c>
      <c r="E99" s="6">
        <v>0.0</v>
      </c>
    </row>
    <row r="100">
      <c r="A100" s="6">
        <v>99.0</v>
      </c>
      <c r="B100" s="6" t="s">
        <v>14</v>
      </c>
      <c r="C100" s="6">
        <v>1.0</v>
      </c>
      <c r="D100" s="6">
        <v>0.0</v>
      </c>
      <c r="E100" s="6">
        <v>0.0</v>
      </c>
    </row>
    <row r="101">
      <c r="A101" s="6">
        <v>100.0</v>
      </c>
      <c r="B101" s="6" t="s">
        <v>15</v>
      </c>
      <c r="C101" s="6">
        <v>0.0</v>
      </c>
      <c r="D101" s="6">
        <v>1.0</v>
      </c>
      <c r="E101" s="6">
        <v>50.0</v>
      </c>
      <c r="F101" s="6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0.0"/>
    <col customWidth="1" min="3" max="3" width="14.75"/>
    <col customWidth="1" min="6" max="6" width="10.13"/>
    <col customWidth="1" min="7" max="7" width="17.5"/>
    <col customWidth="1" min="8" max="8" width="13.63"/>
    <col customWidth="1" min="9" max="9" width="11.25"/>
    <col customWidth="1" min="10" max="10" width="21.38"/>
  </cols>
  <sheetData>
    <row r="1">
      <c r="A1" s="1" t="s">
        <v>42</v>
      </c>
      <c r="B1" s="1" t="s">
        <v>43</v>
      </c>
      <c r="C1" s="1" t="s">
        <v>29</v>
      </c>
      <c r="D1" s="1" t="s">
        <v>4</v>
      </c>
      <c r="F1" s="18" t="s">
        <v>44</v>
      </c>
      <c r="G1" s="1" t="s">
        <v>29</v>
      </c>
      <c r="H1" s="1" t="s">
        <v>37</v>
      </c>
      <c r="I1" s="1" t="s">
        <v>45</v>
      </c>
      <c r="J1" s="11" t="s">
        <v>46</v>
      </c>
    </row>
    <row r="2">
      <c r="A2" s="20">
        <v>44927.0</v>
      </c>
      <c r="B2" s="6" t="str">
        <f t="shared" ref="B2:B91" si="1">TEXT(A2, "yyyy-mm")</f>
        <v>2023-01</v>
      </c>
      <c r="C2" s="6" t="s">
        <v>12</v>
      </c>
      <c r="D2" s="6">
        <v>86.0</v>
      </c>
      <c r="F2" s="21" t="s">
        <v>47</v>
      </c>
      <c r="G2" s="6" t="s">
        <v>14</v>
      </c>
      <c r="H2" s="15">
        <f t="shared" ref="H2:H16" si="2">SUMIF(C:C,G2,D:D)</f>
        <v>1238</v>
      </c>
      <c r="I2" s="15">
        <f t="shared" ref="I2:I16" si="3">COUNTIFS(B:B,F2,C:C,G2)</f>
        <v>3</v>
      </c>
      <c r="J2" s="14">
        <f t="shared" ref="J2:J16" si="4">H2/I2</f>
        <v>412.6666667</v>
      </c>
    </row>
    <row r="3">
      <c r="A3" s="20">
        <v>44928.0</v>
      </c>
      <c r="B3" s="6" t="str">
        <f t="shared" si="1"/>
        <v>2023-01</v>
      </c>
      <c r="C3" s="6" t="s">
        <v>15</v>
      </c>
      <c r="D3" s="6">
        <v>108.0</v>
      </c>
      <c r="F3" s="21">
        <v>44927.0</v>
      </c>
      <c r="G3" s="6" t="s">
        <v>11</v>
      </c>
      <c r="H3" s="15">
        <f t="shared" si="2"/>
        <v>2605</v>
      </c>
      <c r="I3" s="15">
        <f t="shared" si="3"/>
        <v>9</v>
      </c>
      <c r="J3" s="14">
        <f t="shared" si="4"/>
        <v>289.4444444</v>
      </c>
    </row>
    <row r="4">
      <c r="A4" s="20">
        <v>44929.0</v>
      </c>
      <c r="B4" s="6" t="str">
        <f t="shared" si="1"/>
        <v>2023-01</v>
      </c>
      <c r="C4" s="6" t="s">
        <v>13</v>
      </c>
      <c r="D4" s="6">
        <v>108.0</v>
      </c>
      <c r="F4" s="21">
        <v>44927.0</v>
      </c>
      <c r="G4" s="6" t="s">
        <v>15</v>
      </c>
      <c r="H4" s="15">
        <f t="shared" si="2"/>
        <v>930</v>
      </c>
      <c r="I4" s="15">
        <f t="shared" si="3"/>
        <v>2</v>
      </c>
      <c r="J4" s="14">
        <f t="shared" si="4"/>
        <v>465</v>
      </c>
    </row>
    <row r="5">
      <c r="A5" s="20">
        <v>44930.0</v>
      </c>
      <c r="B5" s="6" t="str">
        <f t="shared" si="1"/>
        <v>2023-01</v>
      </c>
      <c r="C5" s="6" t="s">
        <v>13</v>
      </c>
      <c r="D5" s="6">
        <v>101.0</v>
      </c>
      <c r="F5" s="21">
        <v>44927.0</v>
      </c>
      <c r="G5" s="6" t="s">
        <v>13</v>
      </c>
      <c r="H5" s="15">
        <f t="shared" si="2"/>
        <v>2068</v>
      </c>
      <c r="I5" s="15">
        <f t="shared" si="3"/>
        <v>9</v>
      </c>
      <c r="J5" s="14">
        <f t="shared" si="4"/>
        <v>229.7777778</v>
      </c>
    </row>
    <row r="6">
      <c r="A6" s="20">
        <v>44931.0</v>
      </c>
      <c r="B6" s="6" t="str">
        <f t="shared" si="1"/>
        <v>2023-01</v>
      </c>
      <c r="C6" s="6" t="s">
        <v>11</v>
      </c>
      <c r="D6" s="6">
        <v>94.0</v>
      </c>
      <c r="F6" s="21">
        <v>44927.0</v>
      </c>
      <c r="G6" s="6" t="s">
        <v>12</v>
      </c>
      <c r="H6" s="15">
        <f t="shared" si="2"/>
        <v>2261</v>
      </c>
      <c r="I6" s="15">
        <f t="shared" si="3"/>
        <v>8</v>
      </c>
      <c r="J6" s="14">
        <f t="shared" si="4"/>
        <v>282.625</v>
      </c>
    </row>
    <row r="7">
      <c r="A7" s="20">
        <v>44932.0</v>
      </c>
      <c r="B7" s="6" t="str">
        <f t="shared" si="1"/>
        <v>2023-01</v>
      </c>
      <c r="C7" s="6" t="s">
        <v>11</v>
      </c>
      <c r="D7" s="6">
        <v>116.0</v>
      </c>
      <c r="F7" s="21">
        <v>44958.0</v>
      </c>
      <c r="G7" s="6" t="s">
        <v>14</v>
      </c>
      <c r="H7" s="15">
        <f t="shared" si="2"/>
        <v>1238</v>
      </c>
      <c r="I7" s="15">
        <f t="shared" si="3"/>
        <v>3</v>
      </c>
      <c r="J7" s="14">
        <f t="shared" si="4"/>
        <v>412.6666667</v>
      </c>
    </row>
    <row r="8">
      <c r="A8" s="20">
        <v>44933.0</v>
      </c>
      <c r="B8" s="6" t="str">
        <f t="shared" si="1"/>
        <v>2023-01</v>
      </c>
      <c r="C8" s="6" t="s">
        <v>11</v>
      </c>
      <c r="D8" s="6">
        <v>97.0</v>
      </c>
      <c r="F8" s="21">
        <v>44958.0</v>
      </c>
      <c r="G8" s="6" t="s">
        <v>11</v>
      </c>
      <c r="H8" s="15">
        <f t="shared" si="2"/>
        <v>2605</v>
      </c>
      <c r="I8" s="15">
        <f t="shared" si="3"/>
        <v>9</v>
      </c>
      <c r="J8" s="14">
        <f t="shared" si="4"/>
        <v>289.4444444</v>
      </c>
    </row>
    <row r="9">
      <c r="A9" s="20">
        <v>44934.0</v>
      </c>
      <c r="B9" s="6" t="str">
        <f t="shared" si="1"/>
        <v>2023-01</v>
      </c>
      <c r="C9" s="6" t="s">
        <v>14</v>
      </c>
      <c r="D9" s="6">
        <v>91.0</v>
      </c>
      <c r="F9" s="21">
        <v>44958.0</v>
      </c>
      <c r="G9" s="6" t="s">
        <v>15</v>
      </c>
      <c r="H9" s="15">
        <f t="shared" si="2"/>
        <v>930</v>
      </c>
      <c r="I9" s="15">
        <f t="shared" si="3"/>
        <v>6</v>
      </c>
      <c r="J9" s="14">
        <f t="shared" si="4"/>
        <v>155</v>
      </c>
    </row>
    <row r="10">
      <c r="A10" s="20">
        <v>44935.0</v>
      </c>
      <c r="B10" s="6" t="str">
        <f t="shared" si="1"/>
        <v>2023-01</v>
      </c>
      <c r="C10" s="6" t="s">
        <v>13</v>
      </c>
      <c r="D10" s="6">
        <v>94.0</v>
      </c>
      <c r="F10" s="21">
        <v>44958.0</v>
      </c>
      <c r="G10" s="6" t="s">
        <v>13</v>
      </c>
      <c r="H10" s="15">
        <f t="shared" si="2"/>
        <v>2068</v>
      </c>
      <c r="I10" s="15">
        <f t="shared" si="3"/>
        <v>5</v>
      </c>
      <c r="J10" s="14">
        <f t="shared" si="4"/>
        <v>413.6</v>
      </c>
    </row>
    <row r="11">
      <c r="A11" s="20">
        <v>44936.0</v>
      </c>
      <c r="B11" s="6" t="str">
        <f t="shared" si="1"/>
        <v>2023-01</v>
      </c>
      <c r="C11" s="6" t="s">
        <v>13</v>
      </c>
      <c r="D11" s="6">
        <v>118.0</v>
      </c>
      <c r="F11" s="21">
        <v>44958.0</v>
      </c>
      <c r="G11" s="6" t="s">
        <v>12</v>
      </c>
      <c r="H11" s="15">
        <f t="shared" si="2"/>
        <v>2261</v>
      </c>
      <c r="I11" s="15">
        <f t="shared" si="3"/>
        <v>5</v>
      </c>
      <c r="J11" s="14">
        <f t="shared" si="4"/>
        <v>452.2</v>
      </c>
    </row>
    <row r="12">
      <c r="A12" s="20">
        <v>44937.0</v>
      </c>
      <c r="B12" s="6" t="str">
        <f t="shared" si="1"/>
        <v>2023-01</v>
      </c>
      <c r="C12" s="6" t="s">
        <v>11</v>
      </c>
      <c r="D12" s="6">
        <v>104.0</v>
      </c>
      <c r="F12" s="21">
        <v>44986.0</v>
      </c>
      <c r="G12" s="6" t="s">
        <v>14</v>
      </c>
      <c r="H12" s="15">
        <f t="shared" si="2"/>
        <v>1238</v>
      </c>
      <c r="I12" s="15">
        <f t="shared" si="3"/>
        <v>7</v>
      </c>
      <c r="J12" s="14">
        <f t="shared" si="4"/>
        <v>176.8571429</v>
      </c>
    </row>
    <row r="13">
      <c r="A13" s="20">
        <v>44938.0</v>
      </c>
      <c r="B13" s="6" t="str">
        <f t="shared" si="1"/>
        <v>2023-01</v>
      </c>
      <c r="C13" s="6" t="s">
        <v>15</v>
      </c>
      <c r="D13" s="6">
        <v>110.0</v>
      </c>
      <c r="F13" s="21">
        <v>44986.0</v>
      </c>
      <c r="G13" s="6" t="s">
        <v>11</v>
      </c>
      <c r="H13" s="15">
        <f t="shared" si="2"/>
        <v>2605</v>
      </c>
      <c r="I13" s="15">
        <f t="shared" si="3"/>
        <v>7</v>
      </c>
      <c r="J13" s="14">
        <f t="shared" si="4"/>
        <v>372.1428571</v>
      </c>
    </row>
    <row r="14">
      <c r="A14" s="20">
        <v>44939.0</v>
      </c>
      <c r="B14" s="6" t="str">
        <f t="shared" si="1"/>
        <v>2023-01</v>
      </c>
      <c r="C14" s="6" t="s">
        <v>14</v>
      </c>
      <c r="D14" s="6">
        <v>115.0</v>
      </c>
      <c r="F14" s="21">
        <v>44986.0</v>
      </c>
      <c r="G14" s="6" t="s">
        <v>15</v>
      </c>
      <c r="H14" s="15">
        <f t="shared" si="2"/>
        <v>930</v>
      </c>
      <c r="I14" s="15">
        <f t="shared" si="3"/>
        <v>1</v>
      </c>
      <c r="J14" s="14">
        <f t="shared" si="4"/>
        <v>930</v>
      </c>
    </row>
    <row r="15">
      <c r="A15" s="20">
        <v>44940.0</v>
      </c>
      <c r="B15" s="6" t="str">
        <f t="shared" si="1"/>
        <v>2023-01</v>
      </c>
      <c r="C15" s="6" t="s">
        <v>12</v>
      </c>
      <c r="D15" s="6">
        <v>94.0</v>
      </c>
      <c r="F15" s="21">
        <v>44986.0</v>
      </c>
      <c r="G15" s="6" t="s">
        <v>13</v>
      </c>
      <c r="H15" s="15">
        <f t="shared" si="2"/>
        <v>2068</v>
      </c>
      <c r="I15" s="15">
        <f t="shared" si="3"/>
        <v>6</v>
      </c>
      <c r="J15" s="14">
        <f t="shared" si="4"/>
        <v>344.6666667</v>
      </c>
    </row>
    <row r="16">
      <c r="A16" s="20">
        <v>44941.0</v>
      </c>
      <c r="B16" s="6" t="str">
        <f t="shared" si="1"/>
        <v>2023-01</v>
      </c>
      <c r="C16" s="6" t="s">
        <v>11</v>
      </c>
      <c r="D16" s="6">
        <v>91.0</v>
      </c>
      <c r="F16" s="21">
        <v>44986.0</v>
      </c>
      <c r="G16" s="6" t="s">
        <v>12</v>
      </c>
      <c r="H16" s="15">
        <f t="shared" si="2"/>
        <v>2261</v>
      </c>
      <c r="I16" s="15">
        <f t="shared" si="3"/>
        <v>10</v>
      </c>
      <c r="J16" s="14">
        <f t="shared" si="4"/>
        <v>226.1</v>
      </c>
    </row>
    <row r="17">
      <c r="A17" s="20">
        <v>44942.0</v>
      </c>
      <c r="B17" s="6" t="str">
        <f t="shared" si="1"/>
        <v>2023-01</v>
      </c>
      <c r="C17" s="6" t="s">
        <v>11</v>
      </c>
      <c r="D17" s="6">
        <v>110.0</v>
      </c>
      <c r="F17" s="22"/>
    </row>
    <row r="18">
      <c r="A18" s="20">
        <v>44943.0</v>
      </c>
      <c r="B18" s="6" t="str">
        <f t="shared" si="1"/>
        <v>2023-01</v>
      </c>
      <c r="C18" s="6" t="s">
        <v>12</v>
      </c>
      <c r="D18" s="6">
        <v>98.0</v>
      </c>
      <c r="F18" s="22"/>
    </row>
    <row r="19">
      <c r="A19" s="20">
        <v>44944.0</v>
      </c>
      <c r="B19" s="6" t="str">
        <f t="shared" si="1"/>
        <v>2023-01</v>
      </c>
      <c r="C19" s="6" t="s">
        <v>13</v>
      </c>
      <c r="D19" s="6">
        <v>86.0</v>
      </c>
      <c r="F19" s="22"/>
    </row>
    <row r="20">
      <c r="A20" s="20">
        <v>44945.0</v>
      </c>
      <c r="B20" s="6" t="str">
        <f t="shared" si="1"/>
        <v>2023-01</v>
      </c>
      <c r="C20" s="6" t="s">
        <v>12</v>
      </c>
      <c r="D20" s="6">
        <v>121.0</v>
      </c>
      <c r="F20" s="22"/>
    </row>
    <row r="21">
      <c r="A21" s="20">
        <v>44946.0</v>
      </c>
      <c r="B21" s="6" t="str">
        <f t="shared" si="1"/>
        <v>2023-01</v>
      </c>
      <c r="C21" s="6" t="s">
        <v>12</v>
      </c>
      <c r="D21" s="6">
        <v>100.0</v>
      </c>
      <c r="F21" s="22"/>
    </row>
    <row r="22">
      <c r="A22" s="20">
        <v>44947.0</v>
      </c>
      <c r="B22" s="6" t="str">
        <f t="shared" si="1"/>
        <v>2023-01</v>
      </c>
      <c r="C22" s="6" t="s">
        <v>13</v>
      </c>
      <c r="D22" s="6">
        <v>96.0</v>
      </c>
      <c r="F22" s="22"/>
    </row>
    <row r="23">
      <c r="A23" s="20">
        <v>44948.0</v>
      </c>
      <c r="B23" s="6" t="str">
        <f t="shared" si="1"/>
        <v>2023-01</v>
      </c>
      <c r="C23" s="6" t="s">
        <v>11</v>
      </c>
      <c r="D23" s="6">
        <v>127.0</v>
      </c>
      <c r="F23" s="22"/>
    </row>
    <row r="24">
      <c r="A24" s="20">
        <v>44949.0</v>
      </c>
      <c r="B24" s="6" t="str">
        <f t="shared" si="1"/>
        <v>2023-01</v>
      </c>
      <c r="C24" s="6" t="s">
        <v>12</v>
      </c>
      <c r="D24" s="6">
        <v>100.0</v>
      </c>
      <c r="F24" s="22"/>
    </row>
    <row r="25">
      <c r="A25" s="20">
        <v>44950.0</v>
      </c>
      <c r="B25" s="6" t="str">
        <f t="shared" si="1"/>
        <v>2023-01</v>
      </c>
      <c r="C25" s="6" t="s">
        <v>12</v>
      </c>
      <c r="D25" s="6">
        <v>93.0</v>
      </c>
      <c r="F25" s="22"/>
    </row>
    <row r="26">
      <c r="A26" s="20">
        <v>44951.0</v>
      </c>
      <c r="B26" s="6" t="str">
        <f t="shared" si="1"/>
        <v>2023-01</v>
      </c>
      <c r="C26" s="6" t="s">
        <v>12</v>
      </c>
      <c r="D26" s="6">
        <v>103.0</v>
      </c>
      <c r="F26" s="22"/>
    </row>
    <row r="27">
      <c r="A27" s="20">
        <v>44952.0</v>
      </c>
      <c r="B27" s="6" t="str">
        <f t="shared" si="1"/>
        <v>2023-01</v>
      </c>
      <c r="C27" s="6" t="s">
        <v>14</v>
      </c>
      <c r="D27" s="6">
        <v>78.0</v>
      </c>
      <c r="F27" s="22"/>
    </row>
    <row r="28">
      <c r="A28" s="20">
        <v>44953.0</v>
      </c>
      <c r="B28" s="6" t="str">
        <f t="shared" si="1"/>
        <v>2023-01</v>
      </c>
      <c r="C28" s="6" t="s">
        <v>11</v>
      </c>
      <c r="D28" s="6">
        <v>116.0</v>
      </c>
      <c r="F28" s="22"/>
    </row>
    <row r="29">
      <c r="A29" s="20">
        <v>44954.0</v>
      </c>
      <c r="B29" s="6" t="str">
        <f t="shared" si="1"/>
        <v>2023-01</v>
      </c>
      <c r="C29" s="6" t="s">
        <v>13</v>
      </c>
      <c r="D29" s="6">
        <v>88.0</v>
      </c>
      <c r="F29" s="22"/>
    </row>
    <row r="30">
      <c r="A30" s="20">
        <v>44955.0</v>
      </c>
      <c r="B30" s="6" t="str">
        <f t="shared" si="1"/>
        <v>2023-01</v>
      </c>
      <c r="C30" s="6" t="s">
        <v>13</v>
      </c>
      <c r="D30" s="6">
        <v>105.0</v>
      </c>
      <c r="F30" s="22"/>
    </row>
    <row r="31">
      <c r="A31" s="20">
        <v>44956.0</v>
      </c>
      <c r="B31" s="6" t="str">
        <f t="shared" si="1"/>
        <v>2023-01</v>
      </c>
      <c r="C31" s="6" t="s">
        <v>11</v>
      </c>
      <c r="D31" s="6">
        <v>92.0</v>
      </c>
      <c r="F31" s="22"/>
    </row>
    <row r="32">
      <c r="A32" s="20">
        <v>44957.0</v>
      </c>
      <c r="B32" s="6" t="str">
        <f t="shared" si="1"/>
        <v>2023-01</v>
      </c>
      <c r="C32" s="6" t="s">
        <v>13</v>
      </c>
      <c r="D32" s="6">
        <v>96.0</v>
      </c>
      <c r="F32" s="22"/>
    </row>
    <row r="33">
      <c r="A33" s="20">
        <v>44958.0</v>
      </c>
      <c r="B33" s="6" t="str">
        <f t="shared" si="1"/>
        <v>2023-02</v>
      </c>
      <c r="C33" s="6" t="s">
        <v>11</v>
      </c>
      <c r="D33" s="6">
        <v>104.0</v>
      </c>
      <c r="F33" s="22"/>
    </row>
    <row r="34">
      <c r="A34" s="20">
        <v>44959.0</v>
      </c>
      <c r="B34" s="6" t="str">
        <f t="shared" si="1"/>
        <v>2023-02</v>
      </c>
      <c r="C34" s="6" t="s">
        <v>11</v>
      </c>
      <c r="D34" s="6">
        <v>84.0</v>
      </c>
      <c r="F34" s="22"/>
    </row>
    <row r="35">
      <c r="A35" s="20">
        <v>44960.0</v>
      </c>
      <c r="B35" s="6" t="str">
        <f t="shared" si="1"/>
        <v>2023-02</v>
      </c>
      <c r="C35" s="6" t="s">
        <v>15</v>
      </c>
      <c r="D35" s="6">
        <v>95.0</v>
      </c>
      <c r="F35" s="22"/>
    </row>
    <row r="36">
      <c r="A36" s="20">
        <v>44961.0</v>
      </c>
      <c r="B36" s="6" t="str">
        <f t="shared" si="1"/>
        <v>2023-02</v>
      </c>
      <c r="C36" s="6" t="s">
        <v>15</v>
      </c>
      <c r="D36" s="6">
        <v>105.0</v>
      </c>
      <c r="F36" s="22"/>
    </row>
    <row r="37">
      <c r="A37" s="20">
        <v>44962.0</v>
      </c>
      <c r="B37" s="6" t="str">
        <f t="shared" si="1"/>
        <v>2023-02</v>
      </c>
      <c r="C37" s="6" t="s">
        <v>14</v>
      </c>
      <c r="D37" s="6">
        <v>100.0</v>
      </c>
      <c r="F37" s="22"/>
    </row>
    <row r="38">
      <c r="A38" s="20">
        <v>44963.0</v>
      </c>
      <c r="B38" s="6" t="str">
        <f t="shared" si="1"/>
        <v>2023-02</v>
      </c>
      <c r="C38" s="6" t="s">
        <v>12</v>
      </c>
      <c r="D38" s="6">
        <v>104.0</v>
      </c>
      <c r="F38" s="22"/>
    </row>
    <row r="39">
      <c r="A39" s="20">
        <v>44964.0</v>
      </c>
      <c r="B39" s="6" t="str">
        <f t="shared" si="1"/>
        <v>2023-02</v>
      </c>
      <c r="C39" s="6" t="s">
        <v>11</v>
      </c>
      <c r="D39" s="6">
        <v>106.0</v>
      </c>
      <c r="F39" s="22"/>
    </row>
    <row r="40">
      <c r="A40" s="20">
        <v>44965.0</v>
      </c>
      <c r="B40" s="6" t="str">
        <f t="shared" si="1"/>
        <v>2023-02</v>
      </c>
      <c r="C40" s="6" t="s">
        <v>13</v>
      </c>
      <c r="D40" s="6">
        <v>120.0</v>
      </c>
      <c r="F40" s="22"/>
    </row>
    <row r="41">
      <c r="A41" s="20">
        <v>44966.0</v>
      </c>
      <c r="B41" s="6" t="str">
        <f t="shared" si="1"/>
        <v>2023-02</v>
      </c>
      <c r="C41" s="6" t="s">
        <v>12</v>
      </c>
      <c r="D41" s="6">
        <v>95.0</v>
      </c>
      <c r="F41" s="22"/>
    </row>
    <row r="42">
      <c r="A42" s="20">
        <v>44967.0</v>
      </c>
      <c r="B42" s="6" t="str">
        <f t="shared" si="1"/>
        <v>2023-02</v>
      </c>
      <c r="C42" s="6" t="s">
        <v>11</v>
      </c>
      <c r="D42" s="6">
        <v>118.0</v>
      </c>
      <c r="F42" s="22"/>
    </row>
    <row r="43">
      <c r="A43" s="20">
        <v>44968.0</v>
      </c>
      <c r="B43" s="6" t="str">
        <f t="shared" si="1"/>
        <v>2023-02</v>
      </c>
      <c r="C43" s="6" t="s">
        <v>12</v>
      </c>
      <c r="D43" s="6">
        <v>92.0</v>
      </c>
      <c r="F43" s="22"/>
    </row>
    <row r="44">
      <c r="A44" s="20">
        <v>44969.0</v>
      </c>
      <c r="B44" s="6" t="str">
        <f t="shared" si="1"/>
        <v>2023-02</v>
      </c>
      <c r="C44" s="6" t="s">
        <v>11</v>
      </c>
      <c r="D44" s="6">
        <v>110.0</v>
      </c>
      <c r="F44" s="22"/>
    </row>
    <row r="45">
      <c r="A45" s="20">
        <v>44970.0</v>
      </c>
      <c r="B45" s="6" t="str">
        <f t="shared" si="1"/>
        <v>2023-02</v>
      </c>
      <c r="C45" s="6" t="s">
        <v>15</v>
      </c>
      <c r="D45" s="6">
        <v>101.0</v>
      </c>
      <c r="F45" s="22"/>
    </row>
    <row r="46">
      <c r="A46" s="20">
        <v>44971.0</v>
      </c>
      <c r="B46" s="6" t="str">
        <f t="shared" si="1"/>
        <v>2023-02</v>
      </c>
      <c r="C46" s="6" t="s">
        <v>12</v>
      </c>
      <c r="D46" s="6">
        <v>84.0</v>
      </c>
      <c r="F46" s="22"/>
    </row>
    <row r="47">
      <c r="A47" s="20">
        <v>44972.0</v>
      </c>
      <c r="B47" s="6" t="str">
        <f t="shared" si="1"/>
        <v>2023-02</v>
      </c>
      <c r="C47" s="6" t="s">
        <v>13</v>
      </c>
      <c r="D47" s="6">
        <v>115.0</v>
      </c>
      <c r="F47" s="22"/>
    </row>
    <row r="48">
      <c r="A48" s="20">
        <v>44973.0</v>
      </c>
      <c r="B48" s="6" t="str">
        <f t="shared" si="1"/>
        <v>2023-02</v>
      </c>
      <c r="C48" s="6" t="s">
        <v>12</v>
      </c>
      <c r="D48" s="6">
        <v>95.0</v>
      </c>
      <c r="F48" s="22"/>
    </row>
    <row r="49">
      <c r="A49" s="20">
        <v>44974.0</v>
      </c>
      <c r="B49" s="6" t="str">
        <f t="shared" si="1"/>
        <v>2023-02</v>
      </c>
      <c r="C49" s="6" t="s">
        <v>13</v>
      </c>
      <c r="D49" s="6">
        <v>114.0</v>
      </c>
      <c r="F49" s="22"/>
    </row>
    <row r="50">
      <c r="A50" s="20">
        <v>44975.0</v>
      </c>
      <c r="B50" s="6" t="str">
        <f t="shared" si="1"/>
        <v>2023-02</v>
      </c>
      <c r="C50" s="6" t="s">
        <v>13</v>
      </c>
      <c r="D50" s="6">
        <v>104.0</v>
      </c>
      <c r="F50" s="22"/>
    </row>
    <row r="51">
      <c r="A51" s="20">
        <v>44976.0</v>
      </c>
      <c r="B51" s="6" t="str">
        <f t="shared" si="1"/>
        <v>2023-02</v>
      </c>
      <c r="C51" s="6" t="s">
        <v>11</v>
      </c>
      <c r="D51" s="6">
        <v>89.0</v>
      </c>
      <c r="F51" s="22"/>
    </row>
    <row r="52">
      <c r="A52" s="20">
        <v>44977.0</v>
      </c>
      <c r="B52" s="6" t="str">
        <f t="shared" si="1"/>
        <v>2023-02</v>
      </c>
      <c r="C52" s="6" t="s">
        <v>15</v>
      </c>
      <c r="D52" s="6">
        <v>103.0</v>
      </c>
      <c r="F52" s="22"/>
    </row>
    <row r="53">
      <c r="A53" s="20">
        <v>44978.0</v>
      </c>
      <c r="B53" s="6" t="str">
        <f t="shared" si="1"/>
        <v>2023-02</v>
      </c>
      <c r="C53" s="6" t="s">
        <v>14</v>
      </c>
      <c r="D53" s="6">
        <v>85.0</v>
      </c>
      <c r="F53" s="22"/>
    </row>
    <row r="54">
      <c r="A54" s="20">
        <v>44979.0</v>
      </c>
      <c r="B54" s="6" t="str">
        <f t="shared" si="1"/>
        <v>2023-02</v>
      </c>
      <c r="C54" s="6" t="s">
        <v>15</v>
      </c>
      <c r="D54" s="6">
        <v>101.0</v>
      </c>
      <c r="F54" s="22"/>
    </row>
    <row r="55">
      <c r="A55" s="20">
        <v>44980.0</v>
      </c>
      <c r="B55" s="6" t="str">
        <f t="shared" si="1"/>
        <v>2023-02</v>
      </c>
      <c r="C55" s="6" t="s">
        <v>14</v>
      </c>
      <c r="D55" s="6">
        <v>104.0</v>
      </c>
      <c r="F55" s="22"/>
    </row>
    <row r="56">
      <c r="A56" s="20">
        <v>44981.0</v>
      </c>
      <c r="B56" s="6" t="str">
        <f t="shared" si="1"/>
        <v>2023-02</v>
      </c>
      <c r="C56" s="6" t="s">
        <v>13</v>
      </c>
      <c r="D56" s="6">
        <v>106.0</v>
      </c>
      <c r="F56" s="22"/>
    </row>
    <row r="57">
      <c r="A57" s="20">
        <v>44982.0</v>
      </c>
      <c r="B57" s="6" t="str">
        <f t="shared" si="1"/>
        <v>2023-02</v>
      </c>
      <c r="C57" s="6" t="s">
        <v>15</v>
      </c>
      <c r="D57" s="6">
        <v>95.0</v>
      </c>
      <c r="F57" s="22"/>
    </row>
    <row r="58">
      <c r="A58" s="20">
        <v>44983.0</v>
      </c>
      <c r="B58" s="6" t="str">
        <f t="shared" si="1"/>
        <v>2023-02</v>
      </c>
      <c r="C58" s="6" t="s">
        <v>11</v>
      </c>
      <c r="D58" s="6">
        <v>104.0</v>
      </c>
      <c r="F58" s="22"/>
    </row>
    <row r="59">
      <c r="A59" s="20">
        <v>44984.0</v>
      </c>
      <c r="B59" s="6" t="str">
        <f t="shared" si="1"/>
        <v>2023-02</v>
      </c>
      <c r="C59" s="6" t="s">
        <v>11</v>
      </c>
      <c r="D59" s="6">
        <v>105.0</v>
      </c>
      <c r="F59" s="22"/>
    </row>
    <row r="60">
      <c r="A60" s="20">
        <v>44985.0</v>
      </c>
      <c r="B60" s="6" t="str">
        <f t="shared" si="1"/>
        <v>2023-02</v>
      </c>
      <c r="C60" s="6" t="s">
        <v>11</v>
      </c>
      <c r="D60" s="6">
        <v>84.0</v>
      </c>
      <c r="F60" s="22"/>
    </row>
    <row r="61">
      <c r="A61" s="20">
        <v>44986.0</v>
      </c>
      <c r="B61" s="6" t="str">
        <f t="shared" si="1"/>
        <v>2023-03</v>
      </c>
      <c r="C61" s="6" t="s">
        <v>12</v>
      </c>
      <c r="D61" s="6">
        <v>93.0</v>
      </c>
      <c r="F61" s="22"/>
    </row>
    <row r="62">
      <c r="A62" s="20">
        <v>44987.0</v>
      </c>
      <c r="B62" s="6" t="str">
        <f t="shared" si="1"/>
        <v>2023-03</v>
      </c>
      <c r="C62" s="6" t="s">
        <v>12</v>
      </c>
      <c r="D62" s="6">
        <v>115.0</v>
      </c>
      <c r="F62" s="22"/>
    </row>
    <row r="63">
      <c r="A63" s="20">
        <v>44988.0</v>
      </c>
      <c r="B63" s="6" t="str">
        <f t="shared" si="1"/>
        <v>2023-03</v>
      </c>
      <c r="C63" s="6" t="s">
        <v>12</v>
      </c>
      <c r="D63" s="6">
        <v>109.0</v>
      </c>
      <c r="F63" s="22"/>
    </row>
    <row r="64">
      <c r="A64" s="20">
        <v>44989.0</v>
      </c>
      <c r="B64" s="6" t="str">
        <f t="shared" si="1"/>
        <v>2023-03</v>
      </c>
      <c r="C64" s="6" t="s">
        <v>14</v>
      </c>
      <c r="D64" s="6">
        <v>102.0</v>
      </c>
      <c r="F64" s="22"/>
    </row>
    <row r="65">
      <c r="A65" s="20">
        <v>44990.0</v>
      </c>
      <c r="B65" s="6" t="str">
        <f t="shared" si="1"/>
        <v>2023-03</v>
      </c>
      <c r="C65" s="6" t="s">
        <v>12</v>
      </c>
      <c r="D65" s="6">
        <v>90.0</v>
      </c>
      <c r="F65" s="22"/>
    </row>
    <row r="66">
      <c r="A66" s="20">
        <v>44991.0</v>
      </c>
      <c r="B66" s="6" t="str">
        <f t="shared" si="1"/>
        <v>2023-03</v>
      </c>
      <c r="C66" s="6" t="s">
        <v>12</v>
      </c>
      <c r="D66" s="6">
        <v>93.0</v>
      </c>
      <c r="F66" s="22"/>
    </row>
    <row r="67">
      <c r="A67" s="20">
        <v>44992.0</v>
      </c>
      <c r="B67" s="6" t="str">
        <f t="shared" si="1"/>
        <v>2023-03</v>
      </c>
      <c r="C67" s="6" t="s">
        <v>13</v>
      </c>
      <c r="D67" s="6">
        <v>104.0</v>
      </c>
      <c r="F67" s="22"/>
    </row>
    <row r="68">
      <c r="A68" s="20">
        <v>44993.0</v>
      </c>
      <c r="B68" s="6" t="str">
        <f t="shared" si="1"/>
        <v>2023-03</v>
      </c>
      <c r="C68" s="6" t="s">
        <v>11</v>
      </c>
      <c r="D68" s="6">
        <v>117.0</v>
      </c>
      <c r="F68" s="22"/>
    </row>
    <row r="69">
      <c r="A69" s="20">
        <v>44994.0</v>
      </c>
      <c r="B69" s="6" t="str">
        <f t="shared" si="1"/>
        <v>2023-03</v>
      </c>
      <c r="C69" s="6" t="s">
        <v>14</v>
      </c>
      <c r="D69" s="6">
        <v>98.0</v>
      </c>
      <c r="F69" s="22"/>
    </row>
    <row r="70">
      <c r="A70" s="20">
        <v>44995.0</v>
      </c>
      <c r="B70" s="6" t="str">
        <f t="shared" si="1"/>
        <v>2023-03</v>
      </c>
      <c r="C70" s="6" t="s">
        <v>11</v>
      </c>
      <c r="D70" s="6">
        <v>94.0</v>
      </c>
      <c r="F70" s="22"/>
    </row>
    <row r="71">
      <c r="A71" s="20">
        <v>44996.0</v>
      </c>
      <c r="B71" s="6" t="str">
        <f t="shared" si="1"/>
        <v>2023-03</v>
      </c>
      <c r="C71" s="6" t="s">
        <v>15</v>
      </c>
      <c r="D71" s="6">
        <v>112.0</v>
      </c>
      <c r="F71" s="22"/>
    </row>
    <row r="72">
      <c r="A72" s="20">
        <v>44997.0</v>
      </c>
      <c r="B72" s="6" t="str">
        <f t="shared" si="1"/>
        <v>2023-03</v>
      </c>
      <c r="C72" s="6" t="s">
        <v>14</v>
      </c>
      <c r="D72" s="6">
        <v>89.0</v>
      </c>
      <c r="F72" s="22"/>
    </row>
    <row r="73">
      <c r="A73" s="20">
        <v>44998.0</v>
      </c>
      <c r="B73" s="6" t="str">
        <f t="shared" si="1"/>
        <v>2023-03</v>
      </c>
      <c r="C73" s="6" t="s">
        <v>11</v>
      </c>
      <c r="D73" s="6">
        <v>119.0</v>
      </c>
      <c r="F73" s="22"/>
    </row>
    <row r="74">
      <c r="A74" s="20">
        <v>44999.0</v>
      </c>
      <c r="B74" s="6" t="str">
        <f t="shared" si="1"/>
        <v>2023-03</v>
      </c>
      <c r="C74" s="6" t="s">
        <v>11</v>
      </c>
      <c r="D74" s="6">
        <v>102.0</v>
      </c>
      <c r="F74" s="22"/>
    </row>
    <row r="75">
      <c r="A75" s="20">
        <v>45000.0</v>
      </c>
      <c r="B75" s="6" t="str">
        <f t="shared" si="1"/>
        <v>2023-03</v>
      </c>
      <c r="C75" s="6" t="s">
        <v>14</v>
      </c>
      <c r="D75" s="6">
        <v>87.0</v>
      </c>
      <c r="F75" s="22"/>
    </row>
    <row r="76">
      <c r="A76" s="20">
        <v>45001.0</v>
      </c>
      <c r="B76" s="6" t="str">
        <f t="shared" si="1"/>
        <v>2023-03</v>
      </c>
      <c r="C76" s="6" t="s">
        <v>13</v>
      </c>
      <c r="D76" s="6">
        <v>113.0</v>
      </c>
      <c r="F76" s="22"/>
    </row>
    <row r="77">
      <c r="A77" s="20">
        <v>45002.0</v>
      </c>
      <c r="B77" s="6" t="str">
        <f t="shared" si="1"/>
        <v>2023-03</v>
      </c>
      <c r="C77" s="6" t="s">
        <v>13</v>
      </c>
      <c r="D77" s="6">
        <v>106.0</v>
      </c>
      <c r="F77" s="22"/>
    </row>
    <row r="78">
      <c r="A78" s="20">
        <v>45003.0</v>
      </c>
      <c r="B78" s="6" t="str">
        <f t="shared" si="1"/>
        <v>2023-03</v>
      </c>
      <c r="C78" s="6" t="s">
        <v>14</v>
      </c>
      <c r="D78" s="6">
        <v>96.0</v>
      </c>
      <c r="F78" s="22"/>
    </row>
    <row r="79">
      <c r="A79" s="20">
        <v>45004.0</v>
      </c>
      <c r="B79" s="6" t="str">
        <f t="shared" si="1"/>
        <v>2023-03</v>
      </c>
      <c r="C79" s="6" t="s">
        <v>11</v>
      </c>
      <c r="D79" s="6">
        <v>110.0</v>
      </c>
      <c r="F79" s="22"/>
    </row>
    <row r="80">
      <c r="A80" s="20">
        <v>45005.0</v>
      </c>
      <c r="B80" s="6" t="str">
        <f t="shared" si="1"/>
        <v>2023-03</v>
      </c>
      <c r="C80" s="6" t="s">
        <v>12</v>
      </c>
      <c r="D80" s="6">
        <v>100.0</v>
      </c>
      <c r="F80" s="22"/>
    </row>
    <row r="81">
      <c r="A81" s="20">
        <v>45006.0</v>
      </c>
      <c r="B81" s="6" t="str">
        <f t="shared" si="1"/>
        <v>2023-03</v>
      </c>
      <c r="C81" s="6" t="s">
        <v>11</v>
      </c>
      <c r="D81" s="6">
        <v>110.0</v>
      </c>
      <c r="F81" s="22"/>
    </row>
    <row r="82">
      <c r="A82" s="20">
        <v>45007.0</v>
      </c>
      <c r="B82" s="6" t="str">
        <f t="shared" si="1"/>
        <v>2023-03</v>
      </c>
      <c r="C82" s="6" t="s">
        <v>14</v>
      </c>
      <c r="D82" s="6">
        <v>106.0</v>
      </c>
      <c r="F82" s="22"/>
    </row>
    <row r="83">
      <c r="A83" s="20">
        <v>45008.0</v>
      </c>
      <c r="B83" s="6" t="str">
        <f t="shared" si="1"/>
        <v>2023-03</v>
      </c>
      <c r="C83" s="6" t="s">
        <v>13</v>
      </c>
      <c r="D83" s="6">
        <v>114.0</v>
      </c>
      <c r="F83" s="22"/>
    </row>
    <row r="84">
      <c r="A84" s="20">
        <v>45009.0</v>
      </c>
      <c r="B84" s="6" t="str">
        <f t="shared" si="1"/>
        <v>2023-03</v>
      </c>
      <c r="C84" s="6" t="s">
        <v>12</v>
      </c>
      <c r="D84" s="6">
        <v>96.0</v>
      </c>
      <c r="F84" s="22"/>
    </row>
    <row r="85">
      <c r="A85" s="20">
        <v>45010.0</v>
      </c>
      <c r="B85" s="6" t="str">
        <f t="shared" si="1"/>
        <v>2023-03</v>
      </c>
      <c r="C85" s="6" t="s">
        <v>11</v>
      </c>
      <c r="D85" s="6">
        <v>102.0</v>
      </c>
      <c r="F85" s="22"/>
    </row>
    <row r="86">
      <c r="A86" s="20">
        <v>45011.0</v>
      </c>
      <c r="B86" s="6" t="str">
        <f t="shared" si="1"/>
        <v>2023-03</v>
      </c>
      <c r="C86" s="6" t="s">
        <v>12</v>
      </c>
      <c r="D86" s="6">
        <v>99.0</v>
      </c>
      <c r="F86" s="22"/>
    </row>
    <row r="87">
      <c r="A87" s="20">
        <v>45012.0</v>
      </c>
      <c r="B87" s="6" t="str">
        <f t="shared" si="1"/>
        <v>2023-03</v>
      </c>
      <c r="C87" s="6" t="s">
        <v>12</v>
      </c>
      <c r="D87" s="6">
        <v>93.0</v>
      </c>
      <c r="F87" s="22"/>
    </row>
    <row r="88">
      <c r="A88" s="20">
        <v>45013.0</v>
      </c>
      <c r="B88" s="6" t="str">
        <f t="shared" si="1"/>
        <v>2023-03</v>
      </c>
      <c r="C88" s="6" t="s">
        <v>13</v>
      </c>
      <c r="D88" s="6">
        <v>69.0</v>
      </c>
      <c r="F88" s="22"/>
    </row>
    <row r="89">
      <c r="A89" s="20">
        <v>45014.0</v>
      </c>
      <c r="B89" s="6" t="str">
        <f t="shared" si="1"/>
        <v>2023-03</v>
      </c>
      <c r="C89" s="6" t="s">
        <v>13</v>
      </c>
      <c r="D89" s="6">
        <v>111.0</v>
      </c>
      <c r="F89" s="22"/>
    </row>
    <row r="90">
      <c r="A90" s="20">
        <v>45015.0</v>
      </c>
      <c r="B90" s="6" t="str">
        <f t="shared" si="1"/>
        <v>2023-03</v>
      </c>
      <c r="C90" s="6" t="s">
        <v>14</v>
      </c>
      <c r="D90" s="6">
        <v>87.0</v>
      </c>
      <c r="F90" s="22"/>
    </row>
    <row r="91">
      <c r="A91" s="20">
        <v>45016.0</v>
      </c>
      <c r="B91" s="6" t="str">
        <f t="shared" si="1"/>
        <v>2023-03</v>
      </c>
      <c r="C91" s="6" t="s">
        <v>12</v>
      </c>
      <c r="D91" s="6">
        <v>108.0</v>
      </c>
      <c r="F91" s="22"/>
    </row>
    <row r="92">
      <c r="F92" s="22"/>
    </row>
    <row r="93">
      <c r="F93" s="22"/>
    </row>
    <row r="94">
      <c r="F94" s="22"/>
    </row>
    <row r="95">
      <c r="F95" s="22"/>
    </row>
    <row r="96">
      <c r="F96" s="22"/>
    </row>
    <row r="97">
      <c r="F97" s="22"/>
    </row>
    <row r="98">
      <c r="F98" s="22"/>
    </row>
    <row r="99">
      <c r="F99" s="22"/>
    </row>
    <row r="100">
      <c r="F100" s="22"/>
    </row>
    <row r="101">
      <c r="F101" s="22"/>
    </row>
    <row r="102">
      <c r="F102" s="22"/>
    </row>
    <row r="103">
      <c r="F103" s="22"/>
    </row>
    <row r="104">
      <c r="F104" s="22"/>
    </row>
    <row r="105">
      <c r="F105" s="22"/>
    </row>
    <row r="106">
      <c r="F106" s="22"/>
    </row>
    <row r="107">
      <c r="F107" s="22"/>
    </row>
    <row r="108">
      <c r="F108" s="22"/>
    </row>
    <row r="109">
      <c r="F109" s="22"/>
    </row>
    <row r="110">
      <c r="F110" s="22"/>
    </row>
    <row r="111">
      <c r="F111" s="22"/>
    </row>
    <row r="112">
      <c r="F112" s="22"/>
    </row>
    <row r="113">
      <c r="F113" s="22"/>
    </row>
    <row r="114">
      <c r="F114" s="22"/>
    </row>
    <row r="115">
      <c r="F115" s="22"/>
    </row>
    <row r="116">
      <c r="F116" s="22"/>
    </row>
    <row r="117">
      <c r="F117" s="22"/>
    </row>
    <row r="118">
      <c r="F118" s="22"/>
    </row>
    <row r="119">
      <c r="F119" s="22"/>
    </row>
    <row r="120">
      <c r="F120" s="22"/>
    </row>
    <row r="121">
      <c r="F121" s="22"/>
    </row>
    <row r="122">
      <c r="F122" s="22"/>
    </row>
    <row r="123">
      <c r="F123" s="22"/>
    </row>
    <row r="124">
      <c r="F124" s="22"/>
    </row>
    <row r="125">
      <c r="F125" s="22"/>
    </row>
    <row r="126">
      <c r="F126" s="22"/>
    </row>
    <row r="127">
      <c r="F127" s="22"/>
    </row>
    <row r="128">
      <c r="F128" s="22"/>
    </row>
    <row r="129">
      <c r="F129" s="22"/>
    </row>
    <row r="130">
      <c r="F130" s="22"/>
    </row>
    <row r="131">
      <c r="F131" s="22"/>
    </row>
    <row r="132">
      <c r="F132" s="22"/>
    </row>
    <row r="133">
      <c r="F133" s="22"/>
    </row>
    <row r="134">
      <c r="F134" s="22"/>
    </row>
    <row r="135">
      <c r="F135" s="22"/>
    </row>
    <row r="136">
      <c r="F136" s="22"/>
    </row>
    <row r="137">
      <c r="F137" s="22"/>
    </row>
    <row r="138">
      <c r="F138" s="22"/>
    </row>
    <row r="139">
      <c r="F139" s="22"/>
    </row>
    <row r="140">
      <c r="F140" s="22"/>
    </row>
    <row r="141">
      <c r="F141" s="22"/>
    </row>
    <row r="142">
      <c r="F142" s="22"/>
    </row>
    <row r="143">
      <c r="F143" s="22"/>
    </row>
    <row r="144">
      <c r="F144" s="22"/>
    </row>
    <row r="145">
      <c r="F145" s="22"/>
    </row>
    <row r="146">
      <c r="F146" s="22"/>
    </row>
    <row r="147">
      <c r="F147" s="22"/>
    </row>
    <row r="148">
      <c r="F148" s="22"/>
    </row>
    <row r="149">
      <c r="F149" s="22"/>
    </row>
    <row r="150">
      <c r="F150" s="22"/>
    </row>
    <row r="151">
      <c r="F151" s="22"/>
    </row>
    <row r="152">
      <c r="F152" s="22"/>
    </row>
    <row r="153">
      <c r="F153" s="22"/>
    </row>
    <row r="154">
      <c r="F154" s="22"/>
    </row>
    <row r="155">
      <c r="F155" s="22"/>
    </row>
    <row r="156">
      <c r="F156" s="22"/>
    </row>
    <row r="157">
      <c r="F157" s="22"/>
    </row>
    <row r="158">
      <c r="F158" s="22"/>
    </row>
    <row r="159">
      <c r="F159" s="22"/>
    </row>
    <row r="160">
      <c r="F160" s="22"/>
    </row>
    <row r="161">
      <c r="F161" s="22"/>
    </row>
    <row r="162">
      <c r="F162" s="22"/>
    </row>
    <row r="163">
      <c r="F163" s="22"/>
    </row>
    <row r="164">
      <c r="F164" s="22"/>
    </row>
    <row r="165">
      <c r="F165" s="22"/>
    </row>
    <row r="166">
      <c r="F166" s="22"/>
    </row>
    <row r="167">
      <c r="F167" s="22"/>
    </row>
    <row r="168">
      <c r="F168" s="22"/>
    </row>
    <row r="169">
      <c r="F169" s="22"/>
    </row>
    <row r="170">
      <c r="F170" s="22"/>
    </row>
    <row r="171">
      <c r="F171" s="22"/>
    </row>
    <row r="172">
      <c r="F172" s="22"/>
    </row>
    <row r="173">
      <c r="F173" s="22"/>
    </row>
    <row r="174">
      <c r="F174" s="22"/>
    </row>
    <row r="175">
      <c r="F175" s="22"/>
    </row>
    <row r="176">
      <c r="F176" s="22"/>
    </row>
    <row r="177">
      <c r="F177" s="22"/>
    </row>
    <row r="178">
      <c r="F178" s="22"/>
    </row>
    <row r="179">
      <c r="F179" s="22"/>
    </row>
    <row r="180">
      <c r="F180" s="22"/>
    </row>
    <row r="181">
      <c r="F181" s="22"/>
    </row>
    <row r="182">
      <c r="F182" s="22"/>
    </row>
    <row r="183">
      <c r="F183" s="22"/>
    </row>
    <row r="184">
      <c r="F184" s="22"/>
    </row>
    <row r="185">
      <c r="F185" s="22"/>
    </row>
    <row r="186">
      <c r="F186" s="22"/>
    </row>
    <row r="187">
      <c r="F187" s="22"/>
    </row>
    <row r="188">
      <c r="F188" s="22"/>
    </row>
    <row r="189">
      <c r="F189" s="22"/>
    </row>
    <row r="190">
      <c r="F190" s="22"/>
    </row>
    <row r="191">
      <c r="F191" s="22"/>
    </row>
    <row r="192">
      <c r="F192" s="22"/>
    </row>
    <row r="193">
      <c r="F193" s="22"/>
    </row>
    <row r="194">
      <c r="F194" s="22"/>
    </row>
    <row r="195">
      <c r="F195" s="22"/>
    </row>
    <row r="196">
      <c r="F196" s="22"/>
    </row>
    <row r="197">
      <c r="F197" s="22"/>
    </row>
    <row r="198">
      <c r="F198" s="22"/>
    </row>
    <row r="199">
      <c r="F199" s="22"/>
    </row>
    <row r="200">
      <c r="F200" s="22"/>
    </row>
    <row r="201">
      <c r="F201" s="22"/>
    </row>
    <row r="202">
      <c r="F202" s="22"/>
    </row>
    <row r="203">
      <c r="F203" s="22"/>
    </row>
    <row r="204">
      <c r="F204" s="22"/>
    </row>
    <row r="205">
      <c r="F205" s="22"/>
    </row>
    <row r="206">
      <c r="F206" s="22"/>
    </row>
    <row r="207">
      <c r="F207" s="22"/>
    </row>
    <row r="208">
      <c r="F208" s="22"/>
    </row>
    <row r="209">
      <c r="F209" s="22"/>
    </row>
    <row r="210">
      <c r="F210" s="22"/>
    </row>
    <row r="211">
      <c r="F211" s="22"/>
    </row>
    <row r="212">
      <c r="F212" s="22"/>
    </row>
    <row r="213">
      <c r="F213" s="22"/>
    </row>
    <row r="214">
      <c r="F214" s="22"/>
    </row>
    <row r="215">
      <c r="F215" s="22"/>
    </row>
    <row r="216">
      <c r="F216" s="22"/>
    </row>
    <row r="217">
      <c r="F217" s="22"/>
    </row>
    <row r="218">
      <c r="F218" s="22"/>
    </row>
    <row r="219">
      <c r="F219" s="22"/>
    </row>
    <row r="220">
      <c r="F220" s="22"/>
    </row>
    <row r="221">
      <c r="F221" s="22"/>
    </row>
    <row r="222">
      <c r="F222" s="22"/>
    </row>
    <row r="223">
      <c r="F223" s="22"/>
    </row>
    <row r="224">
      <c r="F224" s="22"/>
    </row>
    <row r="225">
      <c r="F225" s="22"/>
    </row>
    <row r="226">
      <c r="F226" s="22"/>
    </row>
    <row r="227">
      <c r="F227" s="22"/>
    </row>
    <row r="228">
      <c r="F228" s="22"/>
    </row>
    <row r="229">
      <c r="F229" s="22"/>
    </row>
    <row r="230">
      <c r="F230" s="22"/>
    </row>
    <row r="231">
      <c r="F231" s="22"/>
    </row>
    <row r="232">
      <c r="F232" s="22"/>
    </row>
    <row r="233">
      <c r="F233" s="22"/>
    </row>
    <row r="234">
      <c r="F234" s="22"/>
    </row>
    <row r="235">
      <c r="F235" s="22"/>
    </row>
    <row r="236">
      <c r="F236" s="22"/>
    </row>
    <row r="237">
      <c r="F237" s="22"/>
    </row>
    <row r="238">
      <c r="F238" s="22"/>
    </row>
    <row r="239">
      <c r="F239" s="22"/>
    </row>
    <row r="240">
      <c r="F240" s="22"/>
    </row>
    <row r="241">
      <c r="F241" s="22"/>
    </row>
    <row r="242">
      <c r="F242" s="22"/>
    </row>
    <row r="243">
      <c r="F243" s="22"/>
    </row>
    <row r="244">
      <c r="F244" s="22"/>
    </row>
    <row r="245">
      <c r="F245" s="22"/>
    </row>
    <row r="246">
      <c r="F246" s="22"/>
    </row>
    <row r="247">
      <c r="F247" s="22"/>
    </row>
    <row r="248">
      <c r="F248" s="22"/>
    </row>
    <row r="249">
      <c r="F249" s="22"/>
    </row>
    <row r="250">
      <c r="F250" s="22"/>
    </row>
    <row r="251">
      <c r="F251" s="22"/>
    </row>
    <row r="252">
      <c r="F252" s="22"/>
    </row>
    <row r="253">
      <c r="F253" s="22"/>
    </row>
    <row r="254">
      <c r="F254" s="22"/>
    </row>
    <row r="255">
      <c r="F255" s="22"/>
    </row>
    <row r="256">
      <c r="F256" s="22"/>
    </row>
    <row r="257">
      <c r="F257" s="22"/>
    </row>
    <row r="258">
      <c r="F258" s="22"/>
    </row>
    <row r="259">
      <c r="F259" s="22"/>
    </row>
    <row r="260">
      <c r="F260" s="22"/>
    </row>
    <row r="261">
      <c r="F261" s="22"/>
    </row>
    <row r="262">
      <c r="F262" s="22"/>
    </row>
    <row r="263">
      <c r="F263" s="22"/>
    </row>
    <row r="264">
      <c r="F264" s="22"/>
    </row>
    <row r="265">
      <c r="F265" s="22"/>
    </row>
    <row r="266">
      <c r="F266" s="22"/>
    </row>
    <row r="267">
      <c r="F267" s="22"/>
    </row>
    <row r="268">
      <c r="F268" s="22"/>
    </row>
    <row r="269">
      <c r="F269" s="22"/>
    </row>
    <row r="270">
      <c r="F270" s="22"/>
    </row>
    <row r="271">
      <c r="F271" s="22"/>
    </row>
    <row r="272">
      <c r="F272" s="22"/>
    </row>
    <row r="273">
      <c r="F273" s="22"/>
    </row>
    <row r="274">
      <c r="F274" s="22"/>
    </row>
    <row r="275">
      <c r="F275" s="22"/>
    </row>
    <row r="276">
      <c r="F276" s="22"/>
    </row>
    <row r="277">
      <c r="F277" s="22"/>
    </row>
    <row r="278">
      <c r="F278" s="22"/>
    </row>
    <row r="279">
      <c r="F279" s="22"/>
    </row>
    <row r="280">
      <c r="F280" s="22"/>
    </row>
    <row r="281">
      <c r="F281" s="22"/>
    </row>
    <row r="282">
      <c r="F282" s="22"/>
    </row>
    <row r="283">
      <c r="F283" s="22"/>
    </row>
    <row r="284">
      <c r="F284" s="22"/>
    </row>
    <row r="285">
      <c r="F285" s="22"/>
    </row>
    <row r="286">
      <c r="F286" s="22"/>
    </row>
    <row r="287">
      <c r="F287" s="22"/>
    </row>
    <row r="288">
      <c r="F288" s="22"/>
    </row>
    <row r="289">
      <c r="F289" s="22"/>
    </row>
    <row r="290">
      <c r="F290" s="22"/>
    </row>
    <row r="291">
      <c r="F291" s="22"/>
    </row>
    <row r="292">
      <c r="F292" s="22"/>
    </row>
    <row r="293">
      <c r="F293" s="22"/>
    </row>
    <row r="294">
      <c r="F294" s="22"/>
    </row>
    <row r="295">
      <c r="F295" s="22"/>
    </row>
    <row r="296">
      <c r="F296" s="22"/>
    </row>
    <row r="297">
      <c r="F297" s="22"/>
    </row>
    <row r="298">
      <c r="F298" s="22"/>
    </row>
    <row r="299">
      <c r="F299" s="22"/>
    </row>
    <row r="300">
      <c r="F300" s="22"/>
    </row>
    <row r="301">
      <c r="F301" s="22"/>
    </row>
    <row r="302">
      <c r="F302" s="22"/>
    </row>
    <row r="303">
      <c r="F303" s="22"/>
    </row>
    <row r="304">
      <c r="F304" s="22"/>
    </row>
    <row r="305">
      <c r="F305" s="22"/>
    </row>
    <row r="306">
      <c r="F306" s="22"/>
    </row>
    <row r="307">
      <c r="F307" s="22"/>
    </row>
    <row r="308">
      <c r="F308" s="22"/>
    </row>
    <row r="309">
      <c r="F309" s="22"/>
    </row>
    <row r="310">
      <c r="F310" s="22"/>
    </row>
    <row r="311">
      <c r="F311" s="22"/>
    </row>
    <row r="312">
      <c r="F312" s="22"/>
    </row>
    <row r="313">
      <c r="F313" s="22"/>
    </row>
    <row r="314">
      <c r="F314" s="22"/>
    </row>
    <row r="315">
      <c r="F315" s="22"/>
    </row>
    <row r="316">
      <c r="F316" s="22"/>
    </row>
    <row r="317">
      <c r="F317" s="22"/>
    </row>
    <row r="318">
      <c r="F318" s="22"/>
    </row>
    <row r="319">
      <c r="F319" s="22"/>
    </row>
    <row r="320">
      <c r="F320" s="22"/>
    </row>
    <row r="321">
      <c r="F321" s="22"/>
    </row>
    <row r="322">
      <c r="F322" s="22"/>
    </row>
    <row r="323">
      <c r="F323" s="22"/>
    </row>
    <row r="324">
      <c r="F324" s="22"/>
    </row>
    <row r="325">
      <c r="F325" s="22"/>
    </row>
    <row r="326">
      <c r="F326" s="22"/>
    </row>
    <row r="327">
      <c r="F327" s="22"/>
    </row>
    <row r="328">
      <c r="F328" s="22"/>
    </row>
    <row r="329">
      <c r="F329" s="22"/>
    </row>
    <row r="330">
      <c r="F330" s="22"/>
    </row>
    <row r="331">
      <c r="F331" s="22"/>
    </row>
    <row r="332">
      <c r="F332" s="22"/>
    </row>
    <row r="333">
      <c r="F333" s="22"/>
    </row>
    <row r="334">
      <c r="F334" s="22"/>
    </row>
    <row r="335">
      <c r="F335" s="22"/>
    </row>
    <row r="336">
      <c r="F336" s="22"/>
    </row>
    <row r="337">
      <c r="F337" s="22"/>
    </row>
    <row r="338">
      <c r="F338" s="22"/>
    </row>
    <row r="339">
      <c r="F339" s="22"/>
    </row>
    <row r="340">
      <c r="F340" s="22"/>
    </row>
    <row r="341">
      <c r="F341" s="22"/>
    </row>
    <row r="342">
      <c r="F342" s="22"/>
    </row>
    <row r="343">
      <c r="F343" s="22"/>
    </row>
    <row r="344">
      <c r="F344" s="22"/>
    </row>
    <row r="345">
      <c r="F345" s="22"/>
    </row>
    <row r="346">
      <c r="F346" s="22"/>
    </row>
    <row r="347">
      <c r="F347" s="22"/>
    </row>
    <row r="348">
      <c r="F348" s="22"/>
    </row>
    <row r="349">
      <c r="F349" s="22"/>
    </row>
    <row r="350">
      <c r="F350" s="22"/>
    </row>
    <row r="351">
      <c r="F351" s="22"/>
    </row>
    <row r="352">
      <c r="F352" s="22"/>
    </row>
    <row r="353">
      <c r="F353" s="22"/>
    </row>
    <row r="354">
      <c r="F354" s="22"/>
    </row>
    <row r="355">
      <c r="F355" s="22"/>
    </row>
    <row r="356">
      <c r="F356" s="22"/>
    </row>
    <row r="357">
      <c r="F357" s="22"/>
    </row>
    <row r="358">
      <c r="F358" s="22"/>
    </row>
    <row r="359">
      <c r="F359" s="22"/>
    </row>
    <row r="360">
      <c r="F360" s="22"/>
    </row>
    <row r="361">
      <c r="F361" s="22"/>
    </row>
    <row r="362">
      <c r="F362" s="22"/>
    </row>
    <row r="363">
      <c r="F363" s="22"/>
    </row>
    <row r="364">
      <c r="F364" s="22"/>
    </row>
    <row r="365">
      <c r="F365" s="22"/>
    </row>
    <row r="366">
      <c r="F366" s="22"/>
    </row>
    <row r="367">
      <c r="F367" s="22"/>
    </row>
    <row r="368">
      <c r="F368" s="22"/>
    </row>
    <row r="369">
      <c r="F369" s="22"/>
    </row>
    <row r="370">
      <c r="F370" s="22"/>
    </row>
    <row r="371">
      <c r="F371" s="22"/>
    </row>
    <row r="372">
      <c r="F372" s="22"/>
    </row>
    <row r="373">
      <c r="F373" s="22"/>
    </row>
    <row r="374">
      <c r="F374" s="22"/>
    </row>
    <row r="375">
      <c r="F375" s="22"/>
    </row>
    <row r="376">
      <c r="F376" s="22"/>
    </row>
    <row r="377">
      <c r="F377" s="22"/>
    </row>
    <row r="378">
      <c r="F378" s="22"/>
    </row>
    <row r="379">
      <c r="F379" s="22"/>
    </row>
    <row r="380">
      <c r="F380" s="22"/>
    </row>
    <row r="381">
      <c r="F381" s="22"/>
    </row>
    <row r="382">
      <c r="F382" s="22"/>
    </row>
    <row r="383">
      <c r="F383" s="22"/>
    </row>
    <row r="384">
      <c r="F384" s="22"/>
    </row>
    <row r="385">
      <c r="F385" s="22"/>
    </row>
    <row r="386">
      <c r="F386" s="22"/>
    </row>
    <row r="387">
      <c r="F387" s="22"/>
    </row>
    <row r="388">
      <c r="F388" s="22"/>
    </row>
    <row r="389">
      <c r="F389" s="22"/>
    </row>
    <row r="390">
      <c r="F390" s="22"/>
    </row>
    <row r="391">
      <c r="F391" s="22"/>
    </row>
    <row r="392">
      <c r="F392" s="22"/>
    </row>
    <row r="393">
      <c r="F393" s="22"/>
    </row>
    <row r="394">
      <c r="F394" s="22"/>
    </row>
    <row r="395">
      <c r="F395" s="22"/>
    </row>
    <row r="396">
      <c r="F396" s="22"/>
    </row>
    <row r="397">
      <c r="F397" s="22"/>
    </row>
    <row r="398">
      <c r="F398" s="22"/>
    </row>
    <row r="399">
      <c r="F399" s="22"/>
    </row>
    <row r="400">
      <c r="F400" s="22"/>
    </row>
    <row r="401">
      <c r="F401" s="22"/>
    </row>
    <row r="402">
      <c r="F402" s="22"/>
    </row>
    <row r="403">
      <c r="F403" s="22"/>
    </row>
    <row r="404">
      <c r="F404" s="22"/>
    </row>
    <row r="405">
      <c r="F405" s="22"/>
    </row>
    <row r="406">
      <c r="F406" s="22"/>
    </row>
    <row r="407">
      <c r="F407" s="22"/>
    </row>
    <row r="408">
      <c r="F408" s="22"/>
    </row>
    <row r="409">
      <c r="F409" s="22"/>
    </row>
    <row r="410">
      <c r="F410" s="22"/>
    </row>
    <row r="411">
      <c r="F411" s="22"/>
    </row>
    <row r="412">
      <c r="F412" s="22"/>
    </row>
    <row r="413">
      <c r="F413" s="22"/>
    </row>
    <row r="414">
      <c r="F414" s="22"/>
    </row>
    <row r="415">
      <c r="F415" s="22"/>
    </row>
    <row r="416">
      <c r="F416" s="22"/>
    </row>
    <row r="417">
      <c r="F417" s="22"/>
    </row>
    <row r="418">
      <c r="F418" s="22"/>
    </row>
    <row r="419">
      <c r="F419" s="22"/>
    </row>
    <row r="420">
      <c r="F420" s="22"/>
    </row>
    <row r="421">
      <c r="F421" s="22"/>
    </row>
    <row r="422">
      <c r="F422" s="22"/>
    </row>
    <row r="423">
      <c r="F423" s="22"/>
    </row>
    <row r="424">
      <c r="F424" s="22"/>
    </row>
    <row r="425">
      <c r="F425" s="22"/>
    </row>
    <row r="426">
      <c r="F426" s="22"/>
    </row>
    <row r="427">
      <c r="F427" s="22"/>
    </row>
    <row r="428">
      <c r="F428" s="22"/>
    </row>
    <row r="429">
      <c r="F429" s="22"/>
    </row>
    <row r="430">
      <c r="F430" s="22"/>
    </row>
    <row r="431">
      <c r="F431" s="22"/>
    </row>
    <row r="432">
      <c r="F432" s="22"/>
    </row>
    <row r="433">
      <c r="F433" s="22"/>
    </row>
    <row r="434">
      <c r="F434" s="22"/>
    </row>
    <row r="435">
      <c r="F435" s="22"/>
    </row>
    <row r="436">
      <c r="F436" s="22"/>
    </row>
    <row r="437">
      <c r="F437" s="22"/>
    </row>
    <row r="438">
      <c r="F438" s="22"/>
    </row>
    <row r="439">
      <c r="F439" s="22"/>
    </row>
    <row r="440">
      <c r="F440" s="22"/>
    </row>
    <row r="441">
      <c r="F441" s="22"/>
    </row>
    <row r="442">
      <c r="F442" s="22"/>
    </row>
    <row r="443">
      <c r="F443" s="22"/>
    </row>
    <row r="444">
      <c r="F444" s="22"/>
    </row>
    <row r="445">
      <c r="F445" s="22"/>
    </row>
    <row r="446">
      <c r="F446" s="22"/>
    </row>
    <row r="447">
      <c r="F447" s="22"/>
    </row>
    <row r="448">
      <c r="F448" s="22"/>
    </row>
    <row r="449">
      <c r="F449" s="22"/>
    </row>
    <row r="450">
      <c r="F450" s="22"/>
    </row>
    <row r="451">
      <c r="F451" s="22"/>
    </row>
    <row r="452">
      <c r="F452" s="22"/>
    </row>
    <row r="453">
      <c r="F453" s="22"/>
    </row>
    <row r="454">
      <c r="F454" s="22"/>
    </row>
    <row r="455">
      <c r="F455" s="22"/>
    </row>
    <row r="456">
      <c r="F456" s="22"/>
    </row>
    <row r="457">
      <c r="F457" s="22"/>
    </row>
    <row r="458">
      <c r="F458" s="22"/>
    </row>
    <row r="459">
      <c r="F459" s="22"/>
    </row>
    <row r="460">
      <c r="F460" s="22"/>
    </row>
    <row r="461">
      <c r="F461" s="22"/>
    </row>
    <row r="462">
      <c r="F462" s="22"/>
    </row>
    <row r="463">
      <c r="F463" s="22"/>
    </row>
    <row r="464">
      <c r="F464" s="22"/>
    </row>
    <row r="465">
      <c r="F465" s="22"/>
    </row>
    <row r="466">
      <c r="F466" s="22"/>
    </row>
    <row r="467">
      <c r="F467" s="22"/>
    </row>
    <row r="468">
      <c r="F468" s="22"/>
    </row>
    <row r="469">
      <c r="F469" s="22"/>
    </row>
    <row r="470">
      <c r="F470" s="22"/>
    </row>
    <row r="471">
      <c r="F471" s="22"/>
    </row>
    <row r="472">
      <c r="F472" s="22"/>
    </row>
    <row r="473">
      <c r="F473" s="22"/>
    </row>
    <row r="474">
      <c r="F474" s="22"/>
    </row>
    <row r="475">
      <c r="F475" s="22"/>
    </row>
    <row r="476">
      <c r="F476" s="22"/>
    </row>
    <row r="477">
      <c r="F477" s="22"/>
    </row>
    <row r="478">
      <c r="F478" s="22"/>
    </row>
    <row r="479">
      <c r="F479" s="22"/>
    </row>
    <row r="480">
      <c r="F480" s="22"/>
    </row>
    <row r="481">
      <c r="F481" s="22"/>
    </row>
    <row r="482">
      <c r="F482" s="22"/>
    </row>
    <row r="483">
      <c r="F483" s="22"/>
    </row>
    <row r="484">
      <c r="F484" s="22"/>
    </row>
    <row r="485">
      <c r="F485" s="22"/>
    </row>
    <row r="486">
      <c r="F486" s="22"/>
    </row>
    <row r="487">
      <c r="F487" s="22"/>
    </row>
    <row r="488">
      <c r="F488" s="22"/>
    </row>
    <row r="489">
      <c r="F489" s="22"/>
    </row>
    <row r="490">
      <c r="F490" s="22"/>
    </row>
    <row r="491">
      <c r="F491" s="22"/>
    </row>
    <row r="492">
      <c r="F492" s="22"/>
    </row>
    <row r="493">
      <c r="F493" s="22"/>
    </row>
    <row r="494">
      <c r="F494" s="22"/>
    </row>
    <row r="495">
      <c r="F495" s="22"/>
    </row>
    <row r="496">
      <c r="F496" s="22"/>
    </row>
    <row r="497">
      <c r="F497" s="22"/>
    </row>
    <row r="498">
      <c r="F498" s="22"/>
    </row>
    <row r="499">
      <c r="F499" s="22"/>
    </row>
    <row r="500">
      <c r="F500" s="22"/>
    </row>
    <row r="501">
      <c r="F501" s="22"/>
    </row>
    <row r="502">
      <c r="F502" s="22"/>
    </row>
    <row r="503">
      <c r="F503" s="22"/>
    </row>
    <row r="504">
      <c r="F504" s="22"/>
    </row>
    <row r="505">
      <c r="F505" s="22"/>
    </row>
    <row r="506">
      <c r="F506" s="22"/>
    </row>
    <row r="507">
      <c r="F507" s="22"/>
    </row>
    <row r="508">
      <c r="F508" s="22"/>
    </row>
    <row r="509">
      <c r="F509" s="22"/>
    </row>
    <row r="510">
      <c r="F510" s="22"/>
    </row>
    <row r="511">
      <c r="F511" s="22"/>
    </row>
    <row r="512">
      <c r="F512" s="22"/>
    </row>
    <row r="513">
      <c r="F513" s="22"/>
    </row>
    <row r="514">
      <c r="F514" s="22"/>
    </row>
    <row r="515">
      <c r="F515" s="22"/>
    </row>
    <row r="516">
      <c r="F516" s="22"/>
    </row>
    <row r="517">
      <c r="F517" s="22"/>
    </row>
    <row r="518">
      <c r="F518" s="22"/>
    </row>
    <row r="519">
      <c r="F519" s="22"/>
    </row>
    <row r="520">
      <c r="F520" s="22"/>
    </row>
    <row r="521">
      <c r="F521" s="22"/>
    </row>
    <row r="522">
      <c r="F522" s="22"/>
    </row>
    <row r="523">
      <c r="F523" s="22"/>
    </row>
    <row r="524">
      <c r="F524" s="22"/>
    </row>
    <row r="525">
      <c r="F525" s="22"/>
    </row>
    <row r="526">
      <c r="F526" s="22"/>
    </row>
    <row r="527">
      <c r="F527" s="22"/>
    </row>
    <row r="528">
      <c r="F528" s="22"/>
    </row>
    <row r="529">
      <c r="F529" s="22"/>
    </row>
    <row r="530">
      <c r="F530" s="22"/>
    </row>
    <row r="531">
      <c r="F531" s="22"/>
    </row>
    <row r="532">
      <c r="F532" s="22"/>
    </row>
    <row r="533">
      <c r="F533" s="22"/>
    </row>
    <row r="534">
      <c r="F534" s="22"/>
    </row>
    <row r="535">
      <c r="F535" s="22"/>
    </row>
    <row r="536">
      <c r="F536" s="22"/>
    </row>
    <row r="537">
      <c r="F537" s="22"/>
    </row>
    <row r="538">
      <c r="F538" s="22"/>
    </row>
    <row r="539">
      <c r="F539" s="22"/>
    </row>
    <row r="540">
      <c r="F540" s="22"/>
    </row>
    <row r="541">
      <c r="F541" s="22"/>
    </row>
    <row r="542">
      <c r="F542" s="22"/>
    </row>
    <row r="543">
      <c r="F543" s="22"/>
    </row>
    <row r="544">
      <c r="F544" s="22"/>
    </row>
    <row r="545">
      <c r="F545" s="22"/>
    </row>
    <row r="546">
      <c r="F546" s="22"/>
    </row>
    <row r="547">
      <c r="F547" s="22"/>
    </row>
    <row r="548">
      <c r="F548" s="22"/>
    </row>
    <row r="549">
      <c r="F549" s="22"/>
    </row>
    <row r="550">
      <c r="F550" s="22"/>
    </row>
    <row r="551">
      <c r="F551" s="22"/>
    </row>
    <row r="552">
      <c r="F552" s="22"/>
    </row>
    <row r="553">
      <c r="F553" s="22"/>
    </row>
    <row r="554">
      <c r="F554" s="22"/>
    </row>
    <row r="555">
      <c r="F555" s="22"/>
    </row>
    <row r="556">
      <c r="F556" s="22"/>
    </row>
    <row r="557">
      <c r="F557" s="22"/>
    </row>
    <row r="558">
      <c r="F558" s="22"/>
    </row>
    <row r="559">
      <c r="F559" s="22"/>
    </row>
    <row r="560">
      <c r="F560" s="22"/>
    </row>
    <row r="561">
      <c r="F561" s="22"/>
    </row>
    <row r="562">
      <c r="F562" s="22"/>
    </row>
    <row r="563">
      <c r="F563" s="22"/>
    </row>
    <row r="564">
      <c r="F564" s="22"/>
    </row>
    <row r="565">
      <c r="F565" s="22"/>
    </row>
    <row r="566">
      <c r="F566" s="22"/>
    </row>
    <row r="567">
      <c r="F567" s="22"/>
    </row>
    <row r="568">
      <c r="F568" s="22"/>
    </row>
    <row r="569">
      <c r="F569" s="22"/>
    </row>
    <row r="570">
      <c r="F570" s="22"/>
    </row>
    <row r="571">
      <c r="F571" s="22"/>
    </row>
    <row r="572">
      <c r="F572" s="22"/>
    </row>
    <row r="573">
      <c r="F573" s="22"/>
    </row>
    <row r="574">
      <c r="F574" s="22"/>
    </row>
    <row r="575">
      <c r="F575" s="22"/>
    </row>
    <row r="576">
      <c r="F576" s="22"/>
    </row>
    <row r="577">
      <c r="F577" s="22"/>
    </row>
    <row r="578">
      <c r="F578" s="22"/>
    </row>
    <row r="579">
      <c r="F579" s="22"/>
    </row>
    <row r="580">
      <c r="F580" s="22"/>
    </row>
    <row r="581">
      <c r="F581" s="22"/>
    </row>
    <row r="582">
      <c r="F582" s="22"/>
    </row>
    <row r="583">
      <c r="F583" s="22"/>
    </row>
    <row r="584">
      <c r="F584" s="22"/>
    </row>
    <row r="585">
      <c r="F585" s="22"/>
    </row>
    <row r="586">
      <c r="F586" s="22"/>
    </row>
    <row r="587">
      <c r="F587" s="22"/>
    </row>
    <row r="588">
      <c r="F588" s="22"/>
    </row>
    <row r="589">
      <c r="F589" s="22"/>
    </row>
    <row r="590">
      <c r="F590" s="22"/>
    </row>
    <row r="591">
      <c r="F591" s="22"/>
    </row>
    <row r="592">
      <c r="F592" s="22"/>
    </row>
    <row r="593">
      <c r="F593" s="22"/>
    </row>
    <row r="594">
      <c r="F594" s="22"/>
    </row>
    <row r="595">
      <c r="F595" s="22"/>
    </row>
    <row r="596">
      <c r="F596" s="22"/>
    </row>
    <row r="597">
      <c r="F597" s="22"/>
    </row>
    <row r="598">
      <c r="F598" s="22"/>
    </row>
    <row r="599">
      <c r="F599" s="22"/>
    </row>
    <row r="600">
      <c r="F600" s="22"/>
    </row>
    <row r="601">
      <c r="F601" s="22"/>
    </row>
    <row r="602">
      <c r="F602" s="22"/>
    </row>
    <row r="603">
      <c r="F603" s="22"/>
    </row>
    <row r="604">
      <c r="F604" s="22"/>
    </row>
    <row r="605">
      <c r="F605" s="22"/>
    </row>
    <row r="606">
      <c r="F606" s="22"/>
    </row>
    <row r="607">
      <c r="F607" s="22"/>
    </row>
    <row r="608">
      <c r="F608" s="22"/>
    </row>
    <row r="609">
      <c r="F609" s="22"/>
    </row>
    <row r="610">
      <c r="F610" s="22"/>
    </row>
    <row r="611">
      <c r="F611" s="22"/>
    </row>
    <row r="612">
      <c r="F612" s="22"/>
    </row>
    <row r="613">
      <c r="F613" s="22"/>
    </row>
    <row r="614">
      <c r="F614" s="22"/>
    </row>
    <row r="615">
      <c r="F615" s="22"/>
    </row>
    <row r="616">
      <c r="F616" s="22"/>
    </row>
    <row r="617">
      <c r="F617" s="22"/>
    </row>
    <row r="618">
      <c r="F618" s="22"/>
    </row>
    <row r="619">
      <c r="F619" s="22"/>
    </row>
    <row r="620">
      <c r="F620" s="22"/>
    </row>
    <row r="621">
      <c r="F621" s="22"/>
    </row>
    <row r="622">
      <c r="F622" s="22"/>
    </row>
    <row r="623">
      <c r="F623" s="22"/>
    </row>
    <row r="624">
      <c r="F624" s="22"/>
    </row>
    <row r="625">
      <c r="F625" s="22"/>
    </row>
    <row r="626">
      <c r="F626" s="22"/>
    </row>
    <row r="627">
      <c r="F627" s="22"/>
    </row>
    <row r="628">
      <c r="F628" s="22"/>
    </row>
    <row r="629">
      <c r="F629" s="22"/>
    </row>
    <row r="630">
      <c r="F630" s="22"/>
    </row>
    <row r="631">
      <c r="F631" s="22"/>
    </row>
    <row r="632">
      <c r="F632" s="22"/>
    </row>
    <row r="633">
      <c r="F633" s="22"/>
    </row>
    <row r="634">
      <c r="F634" s="22"/>
    </row>
    <row r="635">
      <c r="F635" s="22"/>
    </row>
    <row r="636">
      <c r="F636" s="22"/>
    </row>
    <row r="637">
      <c r="F637" s="22"/>
    </row>
    <row r="638">
      <c r="F638" s="22"/>
    </row>
    <row r="639">
      <c r="F639" s="22"/>
    </row>
    <row r="640">
      <c r="F640" s="22"/>
    </row>
    <row r="641">
      <c r="F641" s="22"/>
    </row>
    <row r="642">
      <c r="F642" s="22"/>
    </row>
    <row r="643">
      <c r="F643" s="22"/>
    </row>
    <row r="644">
      <c r="F644" s="22"/>
    </row>
    <row r="645">
      <c r="F645" s="22"/>
    </row>
    <row r="646">
      <c r="F646" s="22"/>
    </row>
    <row r="647">
      <c r="F647" s="22"/>
    </row>
    <row r="648">
      <c r="F648" s="22"/>
    </row>
    <row r="649">
      <c r="F649" s="22"/>
    </row>
    <row r="650">
      <c r="F650" s="22"/>
    </row>
    <row r="651">
      <c r="F651" s="22"/>
    </row>
    <row r="652">
      <c r="F652" s="22"/>
    </row>
    <row r="653">
      <c r="F653" s="22"/>
    </row>
    <row r="654">
      <c r="F654" s="22"/>
    </row>
    <row r="655">
      <c r="F655" s="22"/>
    </row>
    <row r="656">
      <c r="F656" s="22"/>
    </row>
    <row r="657">
      <c r="F657" s="22"/>
    </row>
    <row r="658">
      <c r="F658" s="22"/>
    </row>
    <row r="659">
      <c r="F659" s="22"/>
    </row>
    <row r="660">
      <c r="F660" s="22"/>
    </row>
    <row r="661">
      <c r="F661" s="22"/>
    </row>
    <row r="662">
      <c r="F662" s="22"/>
    </row>
    <row r="663">
      <c r="F663" s="22"/>
    </row>
    <row r="664">
      <c r="F664" s="22"/>
    </row>
    <row r="665">
      <c r="F665" s="22"/>
    </row>
    <row r="666">
      <c r="F666" s="22"/>
    </row>
    <row r="667">
      <c r="F667" s="22"/>
    </row>
    <row r="668">
      <c r="F668" s="22"/>
    </row>
    <row r="669">
      <c r="F669" s="22"/>
    </row>
    <row r="670">
      <c r="F670" s="22"/>
    </row>
    <row r="671">
      <c r="F671" s="22"/>
    </row>
    <row r="672">
      <c r="F672" s="22"/>
    </row>
    <row r="673">
      <c r="F673" s="22"/>
    </row>
    <row r="674">
      <c r="F674" s="22"/>
    </row>
    <row r="675">
      <c r="F675" s="22"/>
    </row>
    <row r="676">
      <c r="F676" s="22"/>
    </row>
    <row r="677">
      <c r="F677" s="22"/>
    </row>
    <row r="678">
      <c r="F678" s="22"/>
    </row>
    <row r="679">
      <c r="F679" s="22"/>
    </row>
    <row r="680">
      <c r="F680" s="22"/>
    </row>
    <row r="681">
      <c r="F681" s="22"/>
    </row>
    <row r="682">
      <c r="F682" s="22"/>
    </row>
    <row r="683">
      <c r="F683" s="22"/>
    </row>
    <row r="684">
      <c r="F684" s="22"/>
    </row>
    <row r="685">
      <c r="F685" s="22"/>
    </row>
    <row r="686">
      <c r="F686" s="22"/>
    </row>
    <row r="687">
      <c r="F687" s="22"/>
    </row>
    <row r="688">
      <c r="F688" s="22"/>
    </row>
    <row r="689">
      <c r="F689" s="22"/>
    </row>
    <row r="690">
      <c r="F690" s="22"/>
    </row>
    <row r="691">
      <c r="F691" s="22"/>
    </row>
    <row r="692">
      <c r="F692" s="22"/>
    </row>
    <row r="693">
      <c r="F693" s="22"/>
    </row>
    <row r="694">
      <c r="F694" s="22"/>
    </row>
    <row r="695">
      <c r="F695" s="22"/>
    </row>
    <row r="696">
      <c r="F696" s="22"/>
    </row>
    <row r="697">
      <c r="F697" s="22"/>
    </row>
    <row r="698">
      <c r="F698" s="22"/>
    </row>
    <row r="699">
      <c r="F699" s="22"/>
    </row>
    <row r="700">
      <c r="F700" s="22"/>
    </row>
    <row r="701">
      <c r="F701" s="22"/>
    </row>
    <row r="702">
      <c r="F702" s="22"/>
    </row>
    <row r="703">
      <c r="F703" s="22"/>
    </row>
    <row r="704">
      <c r="F704" s="22"/>
    </row>
    <row r="705">
      <c r="F705" s="22"/>
    </row>
    <row r="706">
      <c r="F706" s="22"/>
    </row>
    <row r="707">
      <c r="F707" s="22"/>
    </row>
    <row r="708">
      <c r="F708" s="22"/>
    </row>
    <row r="709">
      <c r="F709" s="22"/>
    </row>
    <row r="710">
      <c r="F710" s="22"/>
    </row>
    <row r="711">
      <c r="F711" s="22"/>
    </row>
    <row r="712">
      <c r="F712" s="22"/>
    </row>
    <row r="713">
      <c r="F713" s="22"/>
    </row>
    <row r="714">
      <c r="F714" s="22"/>
    </row>
    <row r="715">
      <c r="F715" s="22"/>
    </row>
    <row r="716">
      <c r="F716" s="22"/>
    </row>
    <row r="717">
      <c r="F717" s="22"/>
    </row>
    <row r="718">
      <c r="F718" s="22"/>
    </row>
    <row r="719">
      <c r="F719" s="22"/>
    </row>
    <row r="720">
      <c r="F720" s="22"/>
    </row>
    <row r="721">
      <c r="F721" s="22"/>
    </row>
    <row r="722">
      <c r="F722" s="22"/>
    </row>
    <row r="723">
      <c r="F723" s="22"/>
    </row>
    <row r="724">
      <c r="F724" s="22"/>
    </row>
    <row r="725">
      <c r="F725" s="22"/>
    </row>
    <row r="726">
      <c r="F726" s="22"/>
    </row>
    <row r="727">
      <c r="F727" s="22"/>
    </row>
    <row r="728">
      <c r="F728" s="22"/>
    </row>
    <row r="729">
      <c r="F729" s="22"/>
    </row>
    <row r="730">
      <c r="F730" s="22"/>
    </row>
    <row r="731">
      <c r="F731" s="22"/>
    </row>
    <row r="732">
      <c r="F732" s="22"/>
    </row>
    <row r="733">
      <c r="F733" s="22"/>
    </row>
    <row r="734">
      <c r="F734" s="22"/>
    </row>
    <row r="735">
      <c r="F735" s="22"/>
    </row>
    <row r="736">
      <c r="F736" s="22"/>
    </row>
    <row r="737">
      <c r="F737" s="22"/>
    </row>
    <row r="738">
      <c r="F738" s="22"/>
    </row>
    <row r="739">
      <c r="F739" s="22"/>
    </row>
    <row r="740">
      <c r="F740" s="22"/>
    </row>
    <row r="741">
      <c r="F741" s="22"/>
    </row>
    <row r="742">
      <c r="F742" s="22"/>
    </row>
    <row r="743">
      <c r="F743" s="22"/>
    </row>
    <row r="744">
      <c r="F744" s="22"/>
    </row>
    <row r="745">
      <c r="F745" s="22"/>
    </row>
    <row r="746">
      <c r="F746" s="22"/>
    </row>
    <row r="747">
      <c r="F747" s="22"/>
    </row>
    <row r="748">
      <c r="F748" s="22"/>
    </row>
    <row r="749">
      <c r="F749" s="22"/>
    </row>
    <row r="750">
      <c r="F750" s="22"/>
    </row>
    <row r="751">
      <c r="F751" s="22"/>
    </row>
    <row r="752">
      <c r="F752" s="22"/>
    </row>
    <row r="753">
      <c r="F753" s="22"/>
    </row>
    <row r="754">
      <c r="F754" s="22"/>
    </row>
    <row r="755">
      <c r="F755" s="22"/>
    </row>
    <row r="756">
      <c r="F756" s="22"/>
    </row>
    <row r="757">
      <c r="F757" s="22"/>
    </row>
    <row r="758">
      <c r="F758" s="22"/>
    </row>
    <row r="759">
      <c r="F759" s="22"/>
    </row>
    <row r="760">
      <c r="F760" s="22"/>
    </row>
    <row r="761">
      <c r="F761" s="22"/>
    </row>
    <row r="762">
      <c r="F762" s="22"/>
    </row>
    <row r="763">
      <c r="F763" s="22"/>
    </row>
    <row r="764">
      <c r="F764" s="22"/>
    </row>
    <row r="765">
      <c r="F765" s="22"/>
    </row>
    <row r="766">
      <c r="F766" s="22"/>
    </row>
    <row r="767">
      <c r="F767" s="22"/>
    </row>
    <row r="768">
      <c r="F768" s="22"/>
    </row>
    <row r="769">
      <c r="F769" s="22"/>
    </row>
    <row r="770">
      <c r="F770" s="22"/>
    </row>
    <row r="771">
      <c r="F771" s="22"/>
    </row>
    <row r="772">
      <c r="F772" s="22"/>
    </row>
    <row r="773">
      <c r="F773" s="22"/>
    </row>
    <row r="774">
      <c r="F774" s="22"/>
    </row>
    <row r="775">
      <c r="F775" s="22"/>
    </row>
    <row r="776">
      <c r="F776" s="22"/>
    </row>
    <row r="777">
      <c r="F777" s="22"/>
    </row>
    <row r="778">
      <c r="F778" s="22"/>
    </row>
    <row r="779">
      <c r="F779" s="22"/>
    </row>
    <row r="780">
      <c r="F780" s="22"/>
    </row>
    <row r="781">
      <c r="F781" s="22"/>
    </row>
    <row r="782">
      <c r="F782" s="22"/>
    </row>
    <row r="783">
      <c r="F783" s="22"/>
    </row>
    <row r="784">
      <c r="F784" s="22"/>
    </row>
    <row r="785">
      <c r="F785" s="22"/>
    </row>
    <row r="786">
      <c r="F786" s="22"/>
    </row>
    <row r="787">
      <c r="F787" s="22"/>
    </row>
    <row r="788">
      <c r="F788" s="22"/>
    </row>
    <row r="789">
      <c r="F789" s="22"/>
    </row>
    <row r="790">
      <c r="F790" s="22"/>
    </row>
    <row r="791">
      <c r="F791" s="22"/>
    </row>
    <row r="792">
      <c r="F792" s="22"/>
    </row>
    <row r="793">
      <c r="F793" s="22"/>
    </row>
    <row r="794">
      <c r="F794" s="22"/>
    </row>
    <row r="795">
      <c r="F795" s="22"/>
    </row>
    <row r="796">
      <c r="F796" s="22"/>
    </row>
    <row r="797">
      <c r="F797" s="22"/>
    </row>
    <row r="798">
      <c r="F798" s="22"/>
    </row>
    <row r="799">
      <c r="F799" s="22"/>
    </row>
    <row r="800">
      <c r="F800" s="22"/>
    </row>
    <row r="801">
      <c r="F801" s="22"/>
    </row>
    <row r="802">
      <c r="F802" s="22"/>
    </row>
    <row r="803">
      <c r="F803" s="22"/>
    </row>
    <row r="804">
      <c r="F804" s="22"/>
    </row>
    <row r="805">
      <c r="F805" s="22"/>
    </row>
    <row r="806">
      <c r="F806" s="22"/>
    </row>
    <row r="807">
      <c r="F807" s="22"/>
    </row>
    <row r="808">
      <c r="F808" s="22"/>
    </row>
    <row r="809">
      <c r="F809" s="22"/>
    </row>
    <row r="810">
      <c r="F810" s="22"/>
    </row>
    <row r="811">
      <c r="F811" s="22"/>
    </row>
    <row r="812">
      <c r="F812" s="22"/>
    </row>
    <row r="813">
      <c r="F813" s="22"/>
    </row>
    <row r="814">
      <c r="F814" s="22"/>
    </row>
    <row r="815">
      <c r="F815" s="22"/>
    </row>
    <row r="816">
      <c r="F816" s="22"/>
    </row>
    <row r="817">
      <c r="F817" s="22"/>
    </row>
    <row r="818">
      <c r="F818" s="22"/>
    </row>
    <row r="819">
      <c r="F819" s="22"/>
    </row>
    <row r="820">
      <c r="F820" s="22"/>
    </row>
    <row r="821">
      <c r="F821" s="22"/>
    </row>
    <row r="822">
      <c r="F822" s="22"/>
    </row>
    <row r="823">
      <c r="F823" s="22"/>
    </row>
    <row r="824">
      <c r="F824" s="22"/>
    </row>
    <row r="825">
      <c r="F825" s="22"/>
    </row>
    <row r="826">
      <c r="F826" s="22"/>
    </row>
    <row r="827">
      <c r="F827" s="22"/>
    </row>
    <row r="828">
      <c r="F828" s="22"/>
    </row>
    <row r="829">
      <c r="F829" s="22"/>
    </row>
    <row r="830">
      <c r="F830" s="22"/>
    </row>
    <row r="831">
      <c r="F831" s="22"/>
    </row>
    <row r="832">
      <c r="F832" s="22"/>
    </row>
    <row r="833">
      <c r="F833" s="22"/>
    </row>
    <row r="834">
      <c r="F834" s="22"/>
    </row>
    <row r="835">
      <c r="F835" s="22"/>
    </row>
    <row r="836">
      <c r="F836" s="22"/>
    </row>
    <row r="837">
      <c r="F837" s="22"/>
    </row>
    <row r="838">
      <c r="F838" s="22"/>
    </row>
    <row r="839">
      <c r="F839" s="22"/>
    </row>
    <row r="840">
      <c r="F840" s="22"/>
    </row>
    <row r="841">
      <c r="F841" s="22"/>
    </row>
    <row r="842">
      <c r="F842" s="22"/>
    </row>
    <row r="843">
      <c r="F843" s="22"/>
    </row>
    <row r="844">
      <c r="F844" s="22"/>
    </row>
    <row r="845">
      <c r="F845" s="22"/>
    </row>
    <row r="846">
      <c r="F846" s="22"/>
    </row>
    <row r="847">
      <c r="F847" s="22"/>
    </row>
    <row r="848">
      <c r="F848" s="22"/>
    </row>
    <row r="849">
      <c r="F849" s="22"/>
    </row>
    <row r="850">
      <c r="F850" s="22"/>
    </row>
    <row r="851">
      <c r="F851" s="22"/>
    </row>
    <row r="852">
      <c r="F852" s="22"/>
    </row>
    <row r="853">
      <c r="F853" s="22"/>
    </row>
    <row r="854">
      <c r="F854" s="22"/>
    </row>
    <row r="855">
      <c r="F855" s="22"/>
    </row>
    <row r="856">
      <c r="F856" s="22"/>
    </row>
    <row r="857">
      <c r="F857" s="22"/>
    </row>
    <row r="858">
      <c r="F858" s="22"/>
    </row>
    <row r="859">
      <c r="F859" s="22"/>
    </row>
    <row r="860">
      <c r="F860" s="22"/>
    </row>
    <row r="861">
      <c r="F861" s="22"/>
    </row>
    <row r="862">
      <c r="F862" s="22"/>
    </row>
    <row r="863">
      <c r="F863" s="22"/>
    </row>
    <row r="864">
      <c r="F864" s="22"/>
    </row>
    <row r="865">
      <c r="F865" s="22"/>
    </row>
    <row r="866">
      <c r="F866" s="22"/>
    </row>
    <row r="867">
      <c r="F867" s="22"/>
    </row>
    <row r="868">
      <c r="F868" s="22"/>
    </row>
    <row r="869">
      <c r="F869" s="22"/>
    </row>
    <row r="870">
      <c r="F870" s="22"/>
    </row>
    <row r="871">
      <c r="F871" s="22"/>
    </row>
    <row r="872">
      <c r="F872" s="22"/>
    </row>
    <row r="873">
      <c r="F873" s="22"/>
    </row>
    <row r="874">
      <c r="F874" s="22"/>
    </row>
    <row r="875">
      <c r="F875" s="22"/>
    </row>
    <row r="876">
      <c r="F876" s="22"/>
    </row>
    <row r="877">
      <c r="F877" s="22"/>
    </row>
    <row r="878">
      <c r="F878" s="22"/>
    </row>
    <row r="879">
      <c r="F879" s="22"/>
    </row>
    <row r="880">
      <c r="F880" s="22"/>
    </row>
    <row r="881">
      <c r="F881" s="22"/>
    </row>
    <row r="882">
      <c r="F882" s="22"/>
    </row>
    <row r="883">
      <c r="F883" s="22"/>
    </row>
    <row r="884">
      <c r="F884" s="22"/>
    </row>
    <row r="885">
      <c r="F885" s="22"/>
    </row>
    <row r="886">
      <c r="F886" s="22"/>
    </row>
    <row r="887">
      <c r="F887" s="22"/>
    </row>
    <row r="888">
      <c r="F888" s="22"/>
    </row>
    <row r="889">
      <c r="F889" s="22"/>
    </row>
    <row r="890">
      <c r="F890" s="22"/>
    </row>
    <row r="891">
      <c r="F891" s="22"/>
    </row>
    <row r="892">
      <c r="F892" s="22"/>
    </row>
    <row r="893">
      <c r="F893" s="22"/>
    </row>
    <row r="894">
      <c r="F894" s="22"/>
    </row>
    <row r="895">
      <c r="F895" s="22"/>
    </row>
    <row r="896">
      <c r="F896" s="22"/>
    </row>
    <row r="897">
      <c r="F897" s="22"/>
    </row>
    <row r="898">
      <c r="F898" s="22"/>
    </row>
    <row r="899">
      <c r="F899" s="22"/>
    </row>
    <row r="900">
      <c r="F900" s="22"/>
    </row>
    <row r="901">
      <c r="F901" s="22"/>
    </row>
    <row r="902">
      <c r="F902" s="22"/>
    </row>
    <row r="903">
      <c r="F903" s="22"/>
    </row>
    <row r="904">
      <c r="F904" s="22"/>
    </row>
    <row r="905">
      <c r="F905" s="22"/>
    </row>
    <row r="906">
      <c r="F906" s="22"/>
    </row>
    <row r="907">
      <c r="F907" s="22"/>
    </row>
    <row r="908">
      <c r="F908" s="22"/>
    </row>
    <row r="909">
      <c r="F909" s="22"/>
    </row>
    <row r="910">
      <c r="F910" s="22"/>
    </row>
    <row r="911">
      <c r="F911" s="22"/>
    </row>
    <row r="912">
      <c r="F912" s="22"/>
    </row>
    <row r="913">
      <c r="F913" s="22"/>
    </row>
    <row r="914">
      <c r="F914" s="22"/>
    </row>
    <row r="915">
      <c r="F915" s="22"/>
    </row>
    <row r="916">
      <c r="F916" s="22"/>
    </row>
    <row r="917">
      <c r="F917" s="22"/>
    </row>
    <row r="918">
      <c r="F918" s="22"/>
    </row>
    <row r="919">
      <c r="F919" s="22"/>
    </row>
    <row r="920">
      <c r="F920" s="22"/>
    </row>
    <row r="921">
      <c r="F921" s="22"/>
    </row>
    <row r="922">
      <c r="F922" s="22"/>
    </row>
    <row r="923">
      <c r="F923" s="22"/>
    </row>
    <row r="924">
      <c r="F924" s="22"/>
    </row>
    <row r="925">
      <c r="F925" s="22"/>
    </row>
    <row r="926">
      <c r="F926" s="22"/>
    </row>
    <row r="927">
      <c r="F927" s="22"/>
    </row>
    <row r="928">
      <c r="F928" s="22"/>
    </row>
    <row r="929">
      <c r="F929" s="22"/>
    </row>
    <row r="930">
      <c r="F930" s="22"/>
    </row>
    <row r="931">
      <c r="F931" s="22"/>
    </row>
    <row r="932">
      <c r="F932" s="22"/>
    </row>
    <row r="933">
      <c r="F933" s="22"/>
    </row>
    <row r="934">
      <c r="F934" s="22"/>
    </row>
    <row r="935">
      <c r="F935" s="22"/>
    </row>
    <row r="936">
      <c r="F936" s="22"/>
    </row>
    <row r="937">
      <c r="F937" s="22"/>
    </row>
    <row r="938">
      <c r="F938" s="22"/>
    </row>
    <row r="939">
      <c r="F939" s="22"/>
    </row>
    <row r="940">
      <c r="F940" s="22"/>
    </row>
    <row r="941">
      <c r="F941" s="22"/>
    </row>
    <row r="942">
      <c r="F942" s="22"/>
    </row>
    <row r="943">
      <c r="F943" s="22"/>
    </row>
    <row r="944">
      <c r="F944" s="22"/>
    </row>
    <row r="945">
      <c r="F945" s="22"/>
    </row>
    <row r="946">
      <c r="F946" s="22"/>
    </row>
    <row r="947">
      <c r="F947" s="22"/>
    </row>
    <row r="948">
      <c r="F948" s="22"/>
    </row>
    <row r="949">
      <c r="F949" s="22"/>
    </row>
    <row r="950">
      <c r="F950" s="22"/>
    </row>
    <row r="951">
      <c r="F951" s="22"/>
    </row>
    <row r="952">
      <c r="F952" s="22"/>
    </row>
    <row r="953">
      <c r="F953" s="22"/>
    </row>
    <row r="954">
      <c r="F954" s="22"/>
    </row>
    <row r="955">
      <c r="F955" s="22"/>
    </row>
    <row r="956">
      <c r="F956" s="22"/>
    </row>
    <row r="957">
      <c r="F957" s="22"/>
    </row>
    <row r="958">
      <c r="F958" s="22"/>
    </row>
    <row r="959">
      <c r="F959" s="22"/>
    </row>
    <row r="960">
      <c r="F960" s="22"/>
    </row>
    <row r="961">
      <c r="F961" s="22"/>
    </row>
    <row r="962">
      <c r="F962" s="22"/>
    </row>
    <row r="963">
      <c r="F963" s="22"/>
    </row>
    <row r="964">
      <c r="F964" s="22"/>
    </row>
    <row r="965">
      <c r="F965" s="22"/>
    </row>
    <row r="966">
      <c r="F966" s="22"/>
    </row>
    <row r="967">
      <c r="F967" s="22"/>
    </row>
    <row r="968">
      <c r="F968" s="22"/>
    </row>
    <row r="969">
      <c r="F969" s="22"/>
    </row>
    <row r="970">
      <c r="F970" s="22"/>
    </row>
    <row r="971">
      <c r="F971" s="22"/>
    </row>
    <row r="972">
      <c r="F972" s="22"/>
    </row>
    <row r="973">
      <c r="F973" s="22"/>
    </row>
    <row r="974">
      <c r="F974" s="22"/>
    </row>
    <row r="975">
      <c r="F975" s="22"/>
    </row>
    <row r="976">
      <c r="F976" s="22"/>
    </row>
    <row r="977">
      <c r="F977" s="22"/>
    </row>
    <row r="978">
      <c r="F978" s="22"/>
    </row>
    <row r="979">
      <c r="F979" s="22"/>
    </row>
    <row r="980">
      <c r="F980" s="22"/>
    </row>
    <row r="981">
      <c r="F981" s="22"/>
    </row>
    <row r="982">
      <c r="F982" s="22"/>
    </row>
    <row r="983">
      <c r="F983" s="22"/>
    </row>
    <row r="984">
      <c r="F984" s="22"/>
    </row>
    <row r="985">
      <c r="F985" s="22"/>
    </row>
    <row r="986">
      <c r="F986" s="22"/>
    </row>
    <row r="987">
      <c r="F987" s="22"/>
    </row>
    <row r="988">
      <c r="F988" s="22"/>
    </row>
    <row r="989">
      <c r="F989" s="22"/>
    </row>
    <row r="990">
      <c r="F990" s="22"/>
    </row>
    <row r="991">
      <c r="F991" s="22"/>
    </row>
    <row r="992">
      <c r="F992" s="22"/>
    </row>
    <row r="993">
      <c r="F993" s="22"/>
    </row>
    <row r="994">
      <c r="F994" s="22"/>
    </row>
    <row r="995">
      <c r="F995" s="22"/>
    </row>
    <row r="996">
      <c r="F996" s="22"/>
    </row>
    <row r="997">
      <c r="F997" s="22"/>
    </row>
    <row r="998">
      <c r="F998" s="22"/>
    </row>
    <row r="999">
      <c r="F999" s="22"/>
    </row>
    <row r="1000">
      <c r="F1000" s="2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5.63"/>
    <col customWidth="1" min="3" max="3" width="5.5"/>
    <col customWidth="1" min="4" max="4" width="7.0"/>
    <col customWidth="1" min="5" max="5" width="8.88"/>
    <col customWidth="1" min="6" max="6" width="20.38"/>
    <col customWidth="1" min="7" max="7" width="7.63"/>
    <col customWidth="1" min="9" max="9" width="19.38"/>
  </cols>
  <sheetData>
    <row r="1">
      <c r="A1" s="1" t="s">
        <v>28</v>
      </c>
      <c r="B1" s="1" t="s">
        <v>48</v>
      </c>
      <c r="C1" s="1" t="s">
        <v>3</v>
      </c>
      <c r="D1" s="1" t="s">
        <v>4</v>
      </c>
      <c r="E1" s="1" t="s">
        <v>5</v>
      </c>
      <c r="F1" s="1" t="s">
        <v>49</v>
      </c>
      <c r="G1" s="1" t="s">
        <v>6</v>
      </c>
    </row>
    <row r="2">
      <c r="A2" s="6">
        <v>1.0</v>
      </c>
      <c r="B2" s="6" t="s">
        <v>50</v>
      </c>
      <c r="C2" s="6">
        <v>0.0</v>
      </c>
      <c r="D2" s="6">
        <v>0.0</v>
      </c>
      <c r="E2" s="6">
        <v>0.0</v>
      </c>
      <c r="F2" s="6">
        <v>131.31</v>
      </c>
      <c r="G2" s="6">
        <v>0.0</v>
      </c>
      <c r="I2" s="4"/>
      <c r="J2" s="1" t="s">
        <v>50</v>
      </c>
      <c r="K2" s="1" t="s">
        <v>51</v>
      </c>
    </row>
    <row r="3">
      <c r="A3" s="6">
        <v>2.0</v>
      </c>
      <c r="B3" s="6" t="s">
        <v>51</v>
      </c>
      <c r="C3" s="6">
        <v>0.0</v>
      </c>
      <c r="D3" s="6">
        <v>0.0</v>
      </c>
      <c r="E3" s="6">
        <v>0.0</v>
      </c>
      <c r="F3" s="6">
        <v>98.68</v>
      </c>
      <c r="G3" s="6">
        <v>0.0</v>
      </c>
      <c r="I3" s="6" t="s">
        <v>52</v>
      </c>
      <c r="J3" s="15">
        <f>COUNTIF(B:B,"A")</f>
        <v>144</v>
      </c>
      <c r="K3" s="15">
        <f>COUNTIF(B:B,"B")</f>
        <v>156</v>
      </c>
    </row>
    <row r="4">
      <c r="A4" s="6">
        <v>3.0</v>
      </c>
      <c r="B4" s="6" t="s">
        <v>51</v>
      </c>
      <c r="C4" s="6">
        <v>0.0</v>
      </c>
      <c r="D4" s="6">
        <v>0.0</v>
      </c>
      <c r="E4" s="6">
        <v>0.0</v>
      </c>
      <c r="F4" s="6">
        <v>88.9</v>
      </c>
      <c r="G4" s="6">
        <v>0.0</v>
      </c>
      <c r="I4" s="6" t="s">
        <v>53</v>
      </c>
      <c r="J4" s="15">
        <f>SUMIF(B:B,"A",C:C)</f>
        <v>64</v>
      </c>
      <c r="K4" s="15">
        <f>SUMIF(B:B,"B",C:C)</f>
        <v>64</v>
      </c>
    </row>
    <row r="5">
      <c r="A5" s="6">
        <v>4.0</v>
      </c>
      <c r="B5" s="6" t="s">
        <v>51</v>
      </c>
      <c r="C5" s="6">
        <v>1.0</v>
      </c>
      <c r="D5" s="6">
        <v>0.0</v>
      </c>
      <c r="E5" s="6">
        <v>0.0</v>
      </c>
      <c r="F5" s="6">
        <v>137.62</v>
      </c>
      <c r="G5" s="6">
        <v>0.0</v>
      </c>
      <c r="I5" s="6" t="s">
        <v>37</v>
      </c>
      <c r="J5" s="15">
        <f>SUMIF(B:B,"A",D:D)</f>
        <v>42</v>
      </c>
      <c r="K5" s="15">
        <f>SUMIF(B:B,"B",D:D)</f>
        <v>36</v>
      </c>
    </row>
    <row r="6">
      <c r="A6" s="6">
        <v>5.0</v>
      </c>
      <c r="B6" s="6" t="s">
        <v>50</v>
      </c>
      <c r="C6" s="6">
        <v>1.0</v>
      </c>
      <c r="D6" s="6">
        <v>0.0</v>
      </c>
      <c r="E6" s="6">
        <v>0.0</v>
      </c>
      <c r="F6" s="6">
        <v>71.04</v>
      </c>
      <c r="G6" s="6">
        <v>0.0</v>
      </c>
      <c r="I6" s="6" t="s">
        <v>38</v>
      </c>
      <c r="J6" s="15">
        <f>SUMIF(B:B,"A",E:E)</f>
        <v>30</v>
      </c>
      <c r="K6" s="15">
        <f>SUMIF(B:B,"B",E:E)</f>
        <v>40</v>
      </c>
    </row>
    <row r="7">
      <c r="A7" s="6">
        <v>6.0</v>
      </c>
      <c r="B7" s="6" t="s">
        <v>50</v>
      </c>
      <c r="C7" s="6">
        <v>1.0</v>
      </c>
      <c r="D7" s="6">
        <v>0.0</v>
      </c>
      <c r="E7" s="6">
        <v>1.0</v>
      </c>
      <c r="F7" s="6">
        <v>56.02</v>
      </c>
      <c r="G7" s="6">
        <v>0.0</v>
      </c>
      <c r="I7" s="23" t="s">
        <v>54</v>
      </c>
      <c r="J7" s="14">
        <f>AVERAGEIF(B:B,"A",F:F)</f>
        <v>101.0875</v>
      </c>
      <c r="K7" s="14">
        <f>AVERAGEIF(B:B,"B",F:F)</f>
        <v>102.0292308</v>
      </c>
    </row>
    <row r="8">
      <c r="A8" s="6">
        <v>7.0</v>
      </c>
      <c r="B8" s="6" t="s">
        <v>50</v>
      </c>
      <c r="C8" s="6">
        <v>0.0</v>
      </c>
      <c r="D8" s="6">
        <v>0.0</v>
      </c>
      <c r="E8" s="6">
        <v>1.0</v>
      </c>
      <c r="F8" s="6">
        <v>108.8</v>
      </c>
      <c r="G8" s="6">
        <v>150.0</v>
      </c>
      <c r="I8" s="6" t="s">
        <v>31</v>
      </c>
      <c r="J8" s="15">
        <f>SUMIF(B:B,"A",G:G)</f>
        <v>3850</v>
      </c>
      <c r="K8" s="15">
        <f>SUMIF(B:B,"B",G:G)</f>
        <v>5150</v>
      </c>
    </row>
    <row r="9">
      <c r="A9" s="6">
        <v>8.0</v>
      </c>
      <c r="B9" s="6" t="s">
        <v>51</v>
      </c>
      <c r="C9" s="6">
        <v>0.0</v>
      </c>
      <c r="D9" s="6">
        <v>0.0</v>
      </c>
      <c r="E9" s="6">
        <v>0.0</v>
      </c>
      <c r="F9" s="6">
        <v>89.96</v>
      </c>
      <c r="G9" s="6">
        <v>0.0</v>
      </c>
      <c r="I9" s="6" t="s">
        <v>33</v>
      </c>
      <c r="J9" s="15">
        <f t="shared" ref="J9:K9" si="1">J8/J3</f>
        <v>26.73611111</v>
      </c>
      <c r="K9" s="15">
        <f t="shared" si="1"/>
        <v>33.01282051</v>
      </c>
    </row>
    <row r="10">
      <c r="A10" s="6">
        <v>9.0</v>
      </c>
      <c r="B10" s="6" t="s">
        <v>51</v>
      </c>
      <c r="C10" s="6">
        <v>1.0</v>
      </c>
      <c r="D10" s="6">
        <v>0.0</v>
      </c>
      <c r="E10" s="6">
        <v>0.0</v>
      </c>
      <c r="F10" s="6">
        <v>79.58</v>
      </c>
      <c r="G10" s="6">
        <v>0.0</v>
      </c>
      <c r="I10" s="6" t="s">
        <v>55</v>
      </c>
      <c r="J10" s="15">
        <f t="shared" ref="J10:K10" si="2">J4/J3*100</f>
        <v>44.44444444</v>
      </c>
      <c r="K10" s="15">
        <f t="shared" si="2"/>
        <v>41.02564103</v>
      </c>
    </row>
    <row r="11">
      <c r="A11" s="6">
        <v>10.0</v>
      </c>
      <c r="B11" s="6" t="s">
        <v>51</v>
      </c>
      <c r="C11" s="6">
        <v>0.0</v>
      </c>
      <c r="D11" s="6">
        <v>0.0</v>
      </c>
      <c r="E11" s="6">
        <v>0.0</v>
      </c>
      <c r="F11" s="6">
        <v>114.17</v>
      </c>
      <c r="G11" s="6">
        <v>0.0</v>
      </c>
      <c r="I11" s="6" t="s">
        <v>56</v>
      </c>
      <c r="J11" s="15">
        <f t="shared" ref="J11:K11" si="3">J5/J3*100</f>
        <v>29.16666667</v>
      </c>
      <c r="K11" s="15">
        <f t="shared" si="3"/>
        <v>23.07692308</v>
      </c>
    </row>
    <row r="12">
      <c r="A12" s="6">
        <v>11.0</v>
      </c>
      <c r="B12" s="6" t="s">
        <v>50</v>
      </c>
      <c r="C12" s="6">
        <v>0.0</v>
      </c>
      <c r="D12" s="6">
        <v>0.0</v>
      </c>
      <c r="E12" s="6">
        <v>0.0</v>
      </c>
      <c r="F12" s="6">
        <v>104.88</v>
      </c>
      <c r="G12" s="6">
        <v>0.0</v>
      </c>
      <c r="I12" s="6" t="s">
        <v>57</v>
      </c>
      <c r="J12" s="15">
        <f t="shared" ref="J12:K12" si="4">J6/J3*100</f>
        <v>20.83333333</v>
      </c>
      <c r="K12" s="15">
        <f t="shared" si="4"/>
        <v>25.64102564</v>
      </c>
    </row>
    <row r="13">
      <c r="A13" s="6">
        <v>12.0</v>
      </c>
      <c r="B13" s="6" t="s">
        <v>51</v>
      </c>
      <c r="C13" s="6">
        <v>0.0</v>
      </c>
      <c r="D13" s="6">
        <v>1.0</v>
      </c>
      <c r="E13" s="6">
        <v>0.0</v>
      </c>
      <c r="F13" s="6">
        <v>88.72</v>
      </c>
      <c r="G13" s="6">
        <v>50.0</v>
      </c>
    </row>
    <row r="14">
      <c r="A14" s="6">
        <v>13.0</v>
      </c>
      <c r="B14" s="6" t="s">
        <v>51</v>
      </c>
      <c r="C14" s="6">
        <v>0.0</v>
      </c>
      <c r="D14" s="6">
        <v>0.0</v>
      </c>
      <c r="E14" s="6">
        <v>0.0</v>
      </c>
      <c r="F14" s="6">
        <v>74.39</v>
      </c>
      <c r="G14" s="6">
        <v>0.0</v>
      </c>
    </row>
    <row r="15">
      <c r="A15" s="6">
        <v>14.0</v>
      </c>
      <c r="B15" s="6" t="s">
        <v>50</v>
      </c>
      <c r="C15" s="6">
        <v>1.0</v>
      </c>
      <c r="D15" s="6">
        <v>0.0</v>
      </c>
      <c r="E15" s="6">
        <v>0.0</v>
      </c>
      <c r="F15" s="6">
        <v>117.45</v>
      </c>
      <c r="G15" s="6">
        <v>150.0</v>
      </c>
    </row>
    <row r="16">
      <c r="A16" s="6">
        <v>15.0</v>
      </c>
      <c r="B16" s="6" t="s">
        <v>50</v>
      </c>
      <c r="C16" s="6">
        <v>1.0</v>
      </c>
      <c r="D16" s="6">
        <v>1.0</v>
      </c>
      <c r="E16" s="6">
        <v>0.0</v>
      </c>
      <c r="F16" s="6">
        <v>113.0</v>
      </c>
      <c r="G16" s="6">
        <v>0.0</v>
      </c>
    </row>
    <row r="17">
      <c r="A17" s="6">
        <v>16.0</v>
      </c>
      <c r="B17" s="6" t="s">
        <v>50</v>
      </c>
      <c r="C17" s="6">
        <v>1.0</v>
      </c>
      <c r="D17" s="6">
        <v>1.0</v>
      </c>
      <c r="E17" s="6">
        <v>0.0</v>
      </c>
      <c r="F17" s="6">
        <v>98.02</v>
      </c>
      <c r="G17" s="6">
        <v>0.0</v>
      </c>
    </row>
    <row r="18">
      <c r="A18" s="6">
        <v>17.0</v>
      </c>
      <c r="B18" s="6" t="s">
        <v>50</v>
      </c>
      <c r="C18" s="6">
        <v>0.0</v>
      </c>
      <c r="D18" s="6">
        <v>0.0</v>
      </c>
      <c r="E18" s="6">
        <v>0.0</v>
      </c>
      <c r="F18" s="6">
        <v>136.93</v>
      </c>
      <c r="G18" s="6">
        <v>50.0</v>
      </c>
    </row>
    <row r="19">
      <c r="A19" s="6">
        <v>18.0</v>
      </c>
      <c r="B19" s="6" t="s">
        <v>51</v>
      </c>
      <c r="C19" s="6">
        <v>0.0</v>
      </c>
      <c r="D19" s="6">
        <v>0.0</v>
      </c>
      <c r="E19" s="6">
        <v>1.0</v>
      </c>
      <c r="F19" s="6">
        <v>78.6</v>
      </c>
      <c r="G19" s="6">
        <v>0.0</v>
      </c>
    </row>
    <row r="20">
      <c r="A20" s="6">
        <v>19.0</v>
      </c>
      <c r="B20" s="6" t="s">
        <v>50</v>
      </c>
      <c r="C20" s="6">
        <v>0.0</v>
      </c>
      <c r="D20" s="6">
        <v>1.0</v>
      </c>
      <c r="E20" s="6">
        <v>0.0</v>
      </c>
      <c r="F20" s="6">
        <v>69.49</v>
      </c>
      <c r="G20" s="6">
        <v>0.0</v>
      </c>
    </row>
    <row r="21">
      <c r="A21" s="6">
        <v>20.0</v>
      </c>
      <c r="B21" s="6" t="s">
        <v>50</v>
      </c>
      <c r="C21" s="6">
        <v>0.0</v>
      </c>
      <c r="D21" s="6">
        <v>1.0</v>
      </c>
      <c r="E21" s="6">
        <v>0.0</v>
      </c>
      <c r="F21" s="6">
        <v>86.16</v>
      </c>
      <c r="G21" s="6">
        <v>0.0</v>
      </c>
    </row>
    <row r="22">
      <c r="A22" s="6">
        <v>21.0</v>
      </c>
      <c r="B22" s="6" t="s">
        <v>51</v>
      </c>
      <c r="C22" s="6">
        <v>0.0</v>
      </c>
      <c r="D22" s="6">
        <v>0.0</v>
      </c>
      <c r="E22" s="6">
        <v>1.0</v>
      </c>
      <c r="F22" s="6">
        <v>99.09</v>
      </c>
      <c r="G22" s="6">
        <v>0.0</v>
      </c>
    </row>
    <row r="23">
      <c r="A23" s="6">
        <v>22.0</v>
      </c>
      <c r="B23" s="6" t="s">
        <v>50</v>
      </c>
      <c r="C23" s="6">
        <v>1.0</v>
      </c>
      <c r="D23" s="6">
        <v>0.0</v>
      </c>
      <c r="E23" s="6">
        <v>0.0</v>
      </c>
      <c r="F23" s="6">
        <v>104.87</v>
      </c>
      <c r="G23" s="6">
        <v>100.0</v>
      </c>
    </row>
    <row r="24">
      <c r="A24" s="6">
        <v>23.0</v>
      </c>
      <c r="B24" s="6" t="s">
        <v>50</v>
      </c>
      <c r="C24" s="6">
        <v>1.0</v>
      </c>
      <c r="D24" s="6">
        <v>0.0</v>
      </c>
      <c r="E24" s="6">
        <v>1.0</v>
      </c>
      <c r="F24" s="6">
        <v>95.18</v>
      </c>
      <c r="G24" s="6">
        <v>0.0</v>
      </c>
    </row>
    <row r="25">
      <c r="A25" s="6">
        <v>24.0</v>
      </c>
      <c r="B25" s="6" t="s">
        <v>50</v>
      </c>
      <c r="C25" s="6">
        <v>0.0</v>
      </c>
      <c r="D25" s="6">
        <v>0.0</v>
      </c>
      <c r="E25" s="6">
        <v>0.0</v>
      </c>
      <c r="F25" s="6">
        <v>107.04</v>
      </c>
      <c r="G25" s="6">
        <v>0.0</v>
      </c>
    </row>
    <row r="26">
      <c r="A26" s="6">
        <v>25.0</v>
      </c>
      <c r="B26" s="6" t="s">
        <v>50</v>
      </c>
      <c r="C26" s="6">
        <v>1.0</v>
      </c>
      <c r="D26" s="6">
        <v>0.0</v>
      </c>
      <c r="E26" s="6">
        <v>0.0</v>
      </c>
      <c r="F26" s="6">
        <v>74.97</v>
      </c>
      <c r="G26" s="6">
        <v>0.0</v>
      </c>
    </row>
    <row r="27">
      <c r="A27" s="6">
        <v>26.0</v>
      </c>
      <c r="B27" s="6" t="s">
        <v>51</v>
      </c>
      <c r="C27" s="6">
        <v>1.0</v>
      </c>
      <c r="D27" s="6">
        <v>0.0</v>
      </c>
      <c r="E27" s="6">
        <v>0.0</v>
      </c>
      <c r="F27" s="6">
        <v>128.88</v>
      </c>
      <c r="G27" s="6">
        <v>0.0</v>
      </c>
    </row>
    <row r="28">
      <c r="A28" s="6">
        <v>27.0</v>
      </c>
      <c r="B28" s="6" t="s">
        <v>50</v>
      </c>
      <c r="C28" s="6">
        <v>0.0</v>
      </c>
      <c r="D28" s="6">
        <v>0.0</v>
      </c>
      <c r="E28" s="6">
        <v>0.0</v>
      </c>
      <c r="F28" s="6">
        <v>98.36</v>
      </c>
      <c r="G28" s="6">
        <v>0.0</v>
      </c>
    </row>
    <row r="29">
      <c r="A29" s="6">
        <v>28.0</v>
      </c>
      <c r="B29" s="6" t="s">
        <v>51</v>
      </c>
      <c r="C29" s="6">
        <v>1.0</v>
      </c>
      <c r="D29" s="6">
        <v>1.0</v>
      </c>
      <c r="E29" s="6">
        <v>0.0</v>
      </c>
      <c r="F29" s="6">
        <v>122.35</v>
      </c>
      <c r="G29" s="6">
        <v>0.0</v>
      </c>
    </row>
    <row r="30">
      <c r="A30" s="6">
        <v>29.0</v>
      </c>
      <c r="B30" s="6" t="s">
        <v>51</v>
      </c>
      <c r="C30" s="6">
        <v>0.0</v>
      </c>
      <c r="D30" s="6">
        <v>0.0</v>
      </c>
      <c r="E30" s="6">
        <v>0.0</v>
      </c>
      <c r="F30" s="6">
        <v>106.85</v>
      </c>
      <c r="G30" s="6">
        <v>0.0</v>
      </c>
    </row>
    <row r="31">
      <c r="A31" s="6">
        <v>30.0</v>
      </c>
      <c r="B31" s="6" t="s">
        <v>50</v>
      </c>
      <c r="C31" s="6">
        <v>0.0</v>
      </c>
      <c r="D31" s="6">
        <v>0.0</v>
      </c>
      <c r="E31" s="6">
        <v>0.0</v>
      </c>
      <c r="F31" s="6">
        <v>109.14</v>
      </c>
      <c r="G31" s="6">
        <v>100.0</v>
      </c>
    </row>
    <row r="32">
      <c r="A32" s="6">
        <v>31.0</v>
      </c>
      <c r="B32" s="6" t="s">
        <v>51</v>
      </c>
      <c r="C32" s="6">
        <v>0.0</v>
      </c>
      <c r="D32" s="6">
        <v>1.0</v>
      </c>
      <c r="E32" s="6">
        <v>0.0</v>
      </c>
      <c r="F32" s="6">
        <v>111.4</v>
      </c>
      <c r="G32" s="6">
        <v>0.0</v>
      </c>
    </row>
    <row r="33">
      <c r="A33" s="6">
        <v>32.0</v>
      </c>
      <c r="B33" s="6" t="s">
        <v>50</v>
      </c>
      <c r="C33" s="6">
        <v>1.0</v>
      </c>
      <c r="D33" s="6">
        <v>1.0</v>
      </c>
      <c r="E33" s="6">
        <v>1.0</v>
      </c>
      <c r="F33" s="6">
        <v>108.95</v>
      </c>
      <c r="G33" s="6">
        <v>0.0</v>
      </c>
    </row>
    <row r="34">
      <c r="A34" s="6">
        <v>33.0</v>
      </c>
      <c r="B34" s="6" t="s">
        <v>50</v>
      </c>
      <c r="C34" s="6">
        <v>0.0</v>
      </c>
      <c r="D34" s="6">
        <v>0.0</v>
      </c>
      <c r="E34" s="6">
        <v>1.0</v>
      </c>
      <c r="F34" s="6">
        <v>112.85</v>
      </c>
      <c r="G34" s="6">
        <v>100.0</v>
      </c>
    </row>
    <row r="35">
      <c r="A35" s="6">
        <v>34.0</v>
      </c>
      <c r="B35" s="6" t="s">
        <v>51</v>
      </c>
      <c r="C35" s="6">
        <v>0.0</v>
      </c>
      <c r="D35" s="6">
        <v>0.0</v>
      </c>
      <c r="E35" s="6">
        <v>0.0</v>
      </c>
      <c r="F35" s="6">
        <v>126.58</v>
      </c>
      <c r="G35" s="6">
        <v>0.0</v>
      </c>
    </row>
    <row r="36">
      <c r="A36" s="6">
        <v>35.0</v>
      </c>
      <c r="B36" s="6" t="s">
        <v>51</v>
      </c>
      <c r="C36" s="6">
        <v>0.0</v>
      </c>
      <c r="D36" s="6">
        <v>0.0</v>
      </c>
      <c r="E36" s="6">
        <v>0.0</v>
      </c>
      <c r="F36" s="6">
        <v>103.93</v>
      </c>
      <c r="G36" s="6">
        <v>0.0</v>
      </c>
    </row>
    <row r="37">
      <c r="A37" s="6">
        <v>36.0</v>
      </c>
      <c r="B37" s="6" t="s">
        <v>51</v>
      </c>
      <c r="C37" s="6">
        <v>0.0</v>
      </c>
      <c r="D37" s="6">
        <v>0.0</v>
      </c>
      <c r="E37" s="6">
        <v>0.0</v>
      </c>
      <c r="F37" s="6">
        <v>114.18</v>
      </c>
      <c r="G37" s="6">
        <v>0.0</v>
      </c>
    </row>
    <row r="38">
      <c r="A38" s="6">
        <v>37.0</v>
      </c>
      <c r="B38" s="6" t="s">
        <v>50</v>
      </c>
      <c r="C38" s="6">
        <v>1.0</v>
      </c>
      <c r="D38" s="6">
        <v>0.0</v>
      </c>
      <c r="E38" s="6">
        <v>0.0</v>
      </c>
      <c r="F38" s="6">
        <v>98.21</v>
      </c>
      <c r="G38" s="6">
        <v>0.0</v>
      </c>
    </row>
    <row r="39">
      <c r="A39" s="6">
        <v>38.0</v>
      </c>
      <c r="B39" s="6" t="s">
        <v>50</v>
      </c>
      <c r="C39" s="6">
        <v>1.0</v>
      </c>
      <c r="D39" s="6">
        <v>0.0</v>
      </c>
      <c r="E39" s="6">
        <v>1.0</v>
      </c>
      <c r="F39" s="6">
        <v>128.8</v>
      </c>
      <c r="G39" s="6">
        <v>0.0</v>
      </c>
    </row>
    <row r="40">
      <c r="A40" s="6">
        <v>39.0</v>
      </c>
      <c r="B40" s="6" t="s">
        <v>51</v>
      </c>
      <c r="C40" s="6">
        <v>0.0</v>
      </c>
      <c r="D40" s="6">
        <v>0.0</v>
      </c>
      <c r="E40" s="6">
        <v>0.0</v>
      </c>
      <c r="F40" s="6">
        <v>86.47</v>
      </c>
      <c r="G40" s="6">
        <v>150.0</v>
      </c>
    </row>
    <row r="41">
      <c r="A41" s="6">
        <v>40.0</v>
      </c>
      <c r="B41" s="6" t="s">
        <v>50</v>
      </c>
      <c r="C41" s="6">
        <v>0.0</v>
      </c>
      <c r="D41" s="6">
        <v>0.0</v>
      </c>
      <c r="E41" s="6">
        <v>0.0</v>
      </c>
      <c r="F41" s="6">
        <v>136.02</v>
      </c>
      <c r="G41" s="6">
        <v>0.0</v>
      </c>
    </row>
    <row r="42">
      <c r="A42" s="6">
        <v>41.0</v>
      </c>
      <c r="B42" s="6" t="s">
        <v>50</v>
      </c>
      <c r="C42" s="6">
        <v>0.0</v>
      </c>
      <c r="D42" s="6">
        <v>0.0</v>
      </c>
      <c r="E42" s="6">
        <v>0.0</v>
      </c>
      <c r="F42" s="6">
        <v>99.2</v>
      </c>
      <c r="G42" s="6">
        <v>0.0</v>
      </c>
    </row>
    <row r="43">
      <c r="A43" s="6">
        <v>42.0</v>
      </c>
      <c r="B43" s="6" t="s">
        <v>50</v>
      </c>
      <c r="C43" s="6">
        <v>0.0</v>
      </c>
      <c r="D43" s="6">
        <v>0.0</v>
      </c>
      <c r="E43" s="6">
        <v>0.0</v>
      </c>
      <c r="F43" s="6">
        <v>71.38</v>
      </c>
      <c r="G43" s="6">
        <v>50.0</v>
      </c>
    </row>
    <row r="44">
      <c r="A44" s="6">
        <v>43.0</v>
      </c>
      <c r="B44" s="6" t="s">
        <v>50</v>
      </c>
      <c r="C44" s="6">
        <v>0.0</v>
      </c>
      <c r="D44" s="6">
        <v>0.0</v>
      </c>
      <c r="E44" s="6">
        <v>0.0</v>
      </c>
      <c r="F44" s="6">
        <v>102.56</v>
      </c>
      <c r="G44" s="6">
        <v>0.0</v>
      </c>
    </row>
    <row r="45">
      <c r="A45" s="6">
        <v>44.0</v>
      </c>
      <c r="B45" s="6" t="s">
        <v>51</v>
      </c>
      <c r="C45" s="6">
        <v>0.0</v>
      </c>
      <c r="D45" s="6">
        <v>0.0</v>
      </c>
      <c r="E45" s="6">
        <v>1.0</v>
      </c>
      <c r="F45" s="6">
        <v>86.38</v>
      </c>
      <c r="G45" s="6">
        <v>0.0</v>
      </c>
    </row>
    <row r="46">
      <c r="A46" s="6">
        <v>45.0</v>
      </c>
      <c r="B46" s="6" t="s">
        <v>50</v>
      </c>
      <c r="C46" s="6">
        <v>0.0</v>
      </c>
      <c r="D46" s="6">
        <v>0.0</v>
      </c>
      <c r="E46" s="6">
        <v>0.0</v>
      </c>
      <c r="F46" s="6">
        <v>116.81</v>
      </c>
      <c r="G46" s="6">
        <v>0.0</v>
      </c>
    </row>
    <row r="47">
      <c r="A47" s="6">
        <v>46.0</v>
      </c>
      <c r="B47" s="6" t="s">
        <v>51</v>
      </c>
      <c r="C47" s="6">
        <v>1.0</v>
      </c>
      <c r="D47" s="6">
        <v>1.0</v>
      </c>
      <c r="E47" s="6">
        <v>0.0</v>
      </c>
      <c r="F47" s="6">
        <v>86.95</v>
      </c>
      <c r="G47" s="6">
        <v>150.0</v>
      </c>
    </row>
    <row r="48">
      <c r="A48" s="6">
        <v>47.0</v>
      </c>
      <c r="B48" s="6" t="s">
        <v>50</v>
      </c>
      <c r="C48" s="6">
        <v>1.0</v>
      </c>
      <c r="D48" s="6">
        <v>0.0</v>
      </c>
      <c r="E48" s="6">
        <v>0.0</v>
      </c>
      <c r="F48" s="6">
        <v>91.08</v>
      </c>
      <c r="G48" s="6">
        <v>0.0</v>
      </c>
    </row>
    <row r="49">
      <c r="A49" s="6">
        <v>48.0</v>
      </c>
      <c r="B49" s="6" t="s">
        <v>51</v>
      </c>
      <c r="C49" s="6">
        <v>0.0</v>
      </c>
      <c r="D49" s="6">
        <v>0.0</v>
      </c>
      <c r="E49" s="6">
        <v>1.0</v>
      </c>
      <c r="F49" s="6">
        <v>62.21</v>
      </c>
      <c r="G49" s="6">
        <v>0.0</v>
      </c>
    </row>
    <row r="50">
      <c r="A50" s="6">
        <v>49.0</v>
      </c>
      <c r="B50" s="6" t="s">
        <v>51</v>
      </c>
      <c r="C50" s="6">
        <v>0.0</v>
      </c>
      <c r="D50" s="6">
        <v>1.0</v>
      </c>
      <c r="E50" s="6">
        <v>1.0</v>
      </c>
      <c r="F50" s="6">
        <v>90.95</v>
      </c>
      <c r="G50" s="6">
        <v>0.0</v>
      </c>
    </row>
    <row r="51">
      <c r="A51" s="6">
        <v>50.0</v>
      </c>
      <c r="B51" s="6" t="s">
        <v>50</v>
      </c>
      <c r="C51" s="6">
        <v>1.0</v>
      </c>
      <c r="D51" s="6">
        <v>0.0</v>
      </c>
      <c r="E51" s="6">
        <v>0.0</v>
      </c>
      <c r="F51" s="6">
        <v>51.52</v>
      </c>
      <c r="G51" s="6">
        <v>0.0</v>
      </c>
    </row>
    <row r="52">
      <c r="A52" s="6">
        <v>51.0</v>
      </c>
      <c r="B52" s="6" t="s">
        <v>51</v>
      </c>
      <c r="C52" s="6">
        <v>0.0</v>
      </c>
      <c r="D52" s="6">
        <v>0.0</v>
      </c>
      <c r="E52" s="6">
        <v>0.0</v>
      </c>
      <c r="F52" s="6">
        <v>68.32</v>
      </c>
      <c r="G52" s="6">
        <v>0.0</v>
      </c>
    </row>
    <row r="53">
      <c r="A53" s="6">
        <v>52.0</v>
      </c>
      <c r="B53" s="6" t="s">
        <v>51</v>
      </c>
      <c r="C53" s="6">
        <v>1.0</v>
      </c>
      <c r="D53" s="6">
        <v>0.0</v>
      </c>
      <c r="E53" s="6">
        <v>0.0</v>
      </c>
      <c r="F53" s="6">
        <v>115.21</v>
      </c>
      <c r="G53" s="6">
        <v>0.0</v>
      </c>
    </row>
    <row r="54">
      <c r="A54" s="6">
        <v>53.0</v>
      </c>
      <c r="B54" s="6" t="s">
        <v>51</v>
      </c>
      <c r="C54" s="6">
        <v>1.0</v>
      </c>
      <c r="D54" s="6">
        <v>0.0</v>
      </c>
      <c r="E54" s="6">
        <v>0.0</v>
      </c>
      <c r="F54" s="6">
        <v>115.72</v>
      </c>
      <c r="G54" s="6">
        <v>50.0</v>
      </c>
    </row>
    <row r="55">
      <c r="A55" s="6">
        <v>54.0</v>
      </c>
      <c r="B55" s="6" t="s">
        <v>51</v>
      </c>
      <c r="C55" s="6">
        <v>0.0</v>
      </c>
      <c r="D55" s="6">
        <v>1.0</v>
      </c>
      <c r="E55" s="6">
        <v>1.0</v>
      </c>
      <c r="F55" s="6">
        <v>108.51</v>
      </c>
      <c r="G55" s="6">
        <v>0.0</v>
      </c>
    </row>
    <row r="56">
      <c r="A56" s="6">
        <v>55.0</v>
      </c>
      <c r="B56" s="6" t="s">
        <v>51</v>
      </c>
      <c r="C56" s="6">
        <v>0.0</v>
      </c>
      <c r="D56" s="6">
        <v>0.0</v>
      </c>
      <c r="E56" s="6">
        <v>0.0</v>
      </c>
      <c r="F56" s="6">
        <v>80.66</v>
      </c>
      <c r="G56" s="6">
        <v>0.0</v>
      </c>
    </row>
    <row r="57">
      <c r="A57" s="6">
        <v>56.0</v>
      </c>
      <c r="B57" s="6" t="s">
        <v>51</v>
      </c>
      <c r="C57" s="6">
        <v>1.0</v>
      </c>
      <c r="D57" s="6">
        <v>0.0</v>
      </c>
      <c r="E57" s="6">
        <v>0.0</v>
      </c>
      <c r="F57" s="6">
        <v>99.05</v>
      </c>
      <c r="G57" s="6">
        <v>50.0</v>
      </c>
    </row>
    <row r="58">
      <c r="A58" s="6">
        <v>57.0</v>
      </c>
      <c r="B58" s="6" t="s">
        <v>50</v>
      </c>
      <c r="C58" s="6">
        <v>0.0</v>
      </c>
      <c r="D58" s="6">
        <v>0.0</v>
      </c>
      <c r="E58" s="6">
        <v>0.0</v>
      </c>
      <c r="F58" s="6">
        <v>99.93</v>
      </c>
      <c r="G58" s="6">
        <v>150.0</v>
      </c>
    </row>
    <row r="59">
      <c r="A59" s="6">
        <v>58.0</v>
      </c>
      <c r="B59" s="6" t="s">
        <v>50</v>
      </c>
      <c r="C59" s="6">
        <v>0.0</v>
      </c>
      <c r="D59" s="6">
        <v>0.0</v>
      </c>
      <c r="E59" s="6">
        <v>0.0</v>
      </c>
      <c r="F59" s="6">
        <v>76.83</v>
      </c>
      <c r="G59" s="6">
        <v>0.0</v>
      </c>
    </row>
    <row r="60">
      <c r="A60" s="6">
        <v>59.0</v>
      </c>
      <c r="B60" s="6" t="s">
        <v>50</v>
      </c>
      <c r="C60" s="6">
        <v>1.0</v>
      </c>
      <c r="D60" s="6">
        <v>0.0</v>
      </c>
      <c r="E60" s="6">
        <v>0.0</v>
      </c>
      <c r="F60" s="6">
        <v>130.07</v>
      </c>
      <c r="G60" s="6">
        <v>0.0</v>
      </c>
    </row>
    <row r="61">
      <c r="A61" s="6">
        <v>60.0</v>
      </c>
      <c r="B61" s="6" t="s">
        <v>50</v>
      </c>
      <c r="C61" s="6">
        <v>0.0</v>
      </c>
      <c r="D61" s="6">
        <v>0.0</v>
      </c>
      <c r="E61" s="6">
        <v>0.0</v>
      </c>
      <c r="F61" s="6">
        <v>117.55</v>
      </c>
      <c r="G61" s="6">
        <v>0.0</v>
      </c>
    </row>
    <row r="62">
      <c r="A62" s="6">
        <v>61.0</v>
      </c>
      <c r="B62" s="6" t="s">
        <v>50</v>
      </c>
      <c r="C62" s="6">
        <v>0.0</v>
      </c>
      <c r="D62" s="6">
        <v>0.0</v>
      </c>
      <c r="E62" s="6">
        <v>0.0</v>
      </c>
      <c r="F62" s="6">
        <v>95.58</v>
      </c>
      <c r="G62" s="6">
        <v>150.0</v>
      </c>
    </row>
    <row r="63">
      <c r="A63" s="6">
        <v>62.0</v>
      </c>
      <c r="B63" s="6" t="s">
        <v>50</v>
      </c>
      <c r="C63" s="6">
        <v>1.0</v>
      </c>
      <c r="D63" s="6">
        <v>1.0</v>
      </c>
      <c r="E63" s="6">
        <v>0.0</v>
      </c>
      <c r="F63" s="6">
        <v>100.54</v>
      </c>
      <c r="G63" s="6">
        <v>150.0</v>
      </c>
    </row>
    <row r="64">
      <c r="A64" s="6">
        <v>63.0</v>
      </c>
      <c r="B64" s="6" t="s">
        <v>51</v>
      </c>
      <c r="C64" s="6">
        <v>0.0</v>
      </c>
      <c r="D64" s="6">
        <v>0.0</v>
      </c>
      <c r="E64" s="6">
        <v>0.0</v>
      </c>
      <c r="F64" s="6">
        <v>104.17</v>
      </c>
      <c r="G64" s="6">
        <v>0.0</v>
      </c>
    </row>
    <row r="65">
      <c r="A65" s="6">
        <v>64.0</v>
      </c>
      <c r="B65" s="6" t="s">
        <v>50</v>
      </c>
      <c r="C65" s="6">
        <v>0.0</v>
      </c>
      <c r="D65" s="6">
        <v>0.0</v>
      </c>
      <c r="E65" s="6">
        <v>0.0</v>
      </c>
      <c r="F65" s="6">
        <v>59.17</v>
      </c>
      <c r="G65" s="6">
        <v>100.0</v>
      </c>
    </row>
    <row r="66">
      <c r="A66" s="6">
        <v>65.0</v>
      </c>
      <c r="B66" s="6" t="s">
        <v>50</v>
      </c>
      <c r="C66" s="6">
        <v>1.0</v>
      </c>
      <c r="D66" s="6">
        <v>0.0</v>
      </c>
      <c r="E66" s="6">
        <v>0.0</v>
      </c>
      <c r="F66" s="6">
        <v>95.06</v>
      </c>
      <c r="G66" s="6">
        <v>0.0</v>
      </c>
    </row>
    <row r="67">
      <c r="A67" s="6">
        <v>66.0</v>
      </c>
      <c r="B67" s="6" t="s">
        <v>51</v>
      </c>
      <c r="C67" s="6">
        <v>0.0</v>
      </c>
      <c r="D67" s="6">
        <v>0.0</v>
      </c>
      <c r="E67" s="6">
        <v>0.0</v>
      </c>
      <c r="F67" s="6">
        <v>86.36</v>
      </c>
      <c r="G67" s="6">
        <v>0.0</v>
      </c>
    </row>
    <row r="68">
      <c r="A68" s="6">
        <v>67.0</v>
      </c>
      <c r="B68" s="6" t="s">
        <v>50</v>
      </c>
      <c r="C68" s="6">
        <v>1.0</v>
      </c>
      <c r="D68" s="6">
        <v>0.0</v>
      </c>
      <c r="E68" s="6">
        <v>0.0</v>
      </c>
      <c r="F68" s="6">
        <v>79.97</v>
      </c>
      <c r="G68" s="6">
        <v>0.0</v>
      </c>
    </row>
    <row r="69">
      <c r="A69" s="6">
        <v>68.0</v>
      </c>
      <c r="B69" s="6" t="s">
        <v>51</v>
      </c>
      <c r="C69" s="6">
        <v>1.0</v>
      </c>
      <c r="D69" s="6">
        <v>0.0</v>
      </c>
      <c r="E69" s="6">
        <v>0.0</v>
      </c>
      <c r="F69" s="6">
        <v>94.38</v>
      </c>
      <c r="G69" s="6">
        <v>50.0</v>
      </c>
    </row>
    <row r="70">
      <c r="A70" s="6">
        <v>69.0</v>
      </c>
      <c r="B70" s="6" t="s">
        <v>50</v>
      </c>
      <c r="C70" s="6">
        <v>0.0</v>
      </c>
      <c r="D70" s="6">
        <v>0.0</v>
      </c>
      <c r="E70" s="6">
        <v>0.0</v>
      </c>
      <c r="F70" s="6">
        <v>135.95</v>
      </c>
      <c r="G70" s="6">
        <v>0.0</v>
      </c>
    </row>
    <row r="71">
      <c r="A71" s="6">
        <v>70.0</v>
      </c>
      <c r="B71" s="6" t="s">
        <v>51</v>
      </c>
      <c r="C71" s="6">
        <v>0.0</v>
      </c>
      <c r="D71" s="6">
        <v>0.0</v>
      </c>
      <c r="E71" s="6">
        <v>0.0</v>
      </c>
      <c r="F71" s="6">
        <v>112.82</v>
      </c>
      <c r="G71" s="6">
        <v>100.0</v>
      </c>
    </row>
    <row r="72">
      <c r="A72" s="6">
        <v>71.0</v>
      </c>
      <c r="B72" s="6" t="s">
        <v>51</v>
      </c>
      <c r="C72" s="6">
        <v>0.0</v>
      </c>
      <c r="D72" s="6">
        <v>0.0</v>
      </c>
      <c r="E72" s="6">
        <v>0.0</v>
      </c>
      <c r="F72" s="6">
        <v>88.58</v>
      </c>
      <c r="G72" s="6">
        <v>50.0</v>
      </c>
    </row>
    <row r="73">
      <c r="A73" s="6">
        <v>72.0</v>
      </c>
      <c r="B73" s="6" t="s">
        <v>50</v>
      </c>
      <c r="C73" s="6">
        <v>0.0</v>
      </c>
      <c r="D73" s="6">
        <v>1.0</v>
      </c>
      <c r="E73" s="6">
        <v>1.0</v>
      </c>
      <c r="F73" s="6">
        <v>111.45</v>
      </c>
      <c r="G73" s="6">
        <v>50.0</v>
      </c>
    </row>
    <row r="74">
      <c r="A74" s="6">
        <v>73.0</v>
      </c>
      <c r="B74" s="6" t="s">
        <v>50</v>
      </c>
      <c r="C74" s="6">
        <v>0.0</v>
      </c>
      <c r="D74" s="6">
        <v>0.0</v>
      </c>
      <c r="E74" s="6">
        <v>0.0</v>
      </c>
      <c r="F74" s="6">
        <v>127.99</v>
      </c>
      <c r="G74" s="6">
        <v>0.0</v>
      </c>
    </row>
    <row r="75">
      <c r="A75" s="6">
        <v>74.0</v>
      </c>
      <c r="B75" s="6" t="s">
        <v>51</v>
      </c>
      <c r="C75" s="6">
        <v>1.0</v>
      </c>
      <c r="D75" s="6">
        <v>0.0</v>
      </c>
      <c r="E75" s="6">
        <v>0.0</v>
      </c>
      <c r="F75" s="6">
        <v>118.49</v>
      </c>
      <c r="G75" s="6">
        <v>0.0</v>
      </c>
    </row>
    <row r="76">
      <c r="A76" s="6">
        <v>75.0</v>
      </c>
      <c r="B76" s="6" t="s">
        <v>51</v>
      </c>
      <c r="C76" s="6">
        <v>0.0</v>
      </c>
      <c r="D76" s="6">
        <v>0.0</v>
      </c>
      <c r="E76" s="6">
        <v>0.0</v>
      </c>
      <c r="F76" s="6">
        <v>101.19</v>
      </c>
      <c r="G76" s="6">
        <v>0.0</v>
      </c>
    </row>
    <row r="77">
      <c r="A77" s="6">
        <v>76.0</v>
      </c>
      <c r="B77" s="6" t="s">
        <v>51</v>
      </c>
      <c r="C77" s="6">
        <v>0.0</v>
      </c>
      <c r="D77" s="6">
        <v>1.0</v>
      </c>
      <c r="E77" s="6">
        <v>0.0</v>
      </c>
      <c r="F77" s="6">
        <v>87.06</v>
      </c>
      <c r="G77" s="6">
        <v>0.0</v>
      </c>
    </row>
    <row r="78">
      <c r="A78" s="6">
        <v>77.0</v>
      </c>
      <c r="B78" s="6" t="s">
        <v>51</v>
      </c>
      <c r="C78" s="6">
        <v>1.0</v>
      </c>
      <c r="D78" s="6">
        <v>0.0</v>
      </c>
      <c r="E78" s="6">
        <v>0.0</v>
      </c>
      <c r="F78" s="6">
        <v>113.96</v>
      </c>
      <c r="G78" s="6">
        <v>0.0</v>
      </c>
    </row>
    <row r="79">
      <c r="A79" s="6">
        <v>78.0</v>
      </c>
      <c r="B79" s="6" t="s">
        <v>50</v>
      </c>
      <c r="C79" s="6">
        <v>0.0</v>
      </c>
      <c r="D79" s="6">
        <v>0.0</v>
      </c>
      <c r="E79" s="6">
        <v>0.0</v>
      </c>
      <c r="F79" s="6">
        <v>107.87</v>
      </c>
      <c r="G79" s="6">
        <v>150.0</v>
      </c>
    </row>
    <row r="80">
      <c r="A80" s="6">
        <v>79.0</v>
      </c>
      <c r="B80" s="6" t="s">
        <v>50</v>
      </c>
      <c r="C80" s="6">
        <v>1.0</v>
      </c>
      <c r="D80" s="6">
        <v>1.0</v>
      </c>
      <c r="E80" s="6">
        <v>0.0</v>
      </c>
      <c r="F80" s="6">
        <v>117.9</v>
      </c>
      <c r="G80" s="6">
        <v>0.0</v>
      </c>
    </row>
    <row r="81">
      <c r="A81" s="6">
        <v>80.0</v>
      </c>
      <c r="B81" s="6" t="s">
        <v>50</v>
      </c>
      <c r="C81" s="6">
        <v>0.0</v>
      </c>
      <c r="D81" s="6">
        <v>1.0</v>
      </c>
      <c r="E81" s="6">
        <v>0.0</v>
      </c>
      <c r="F81" s="6">
        <v>112.7</v>
      </c>
      <c r="G81" s="6">
        <v>0.0</v>
      </c>
    </row>
    <row r="82">
      <c r="A82" s="6">
        <v>81.0</v>
      </c>
      <c r="B82" s="6" t="s">
        <v>51</v>
      </c>
      <c r="C82" s="6">
        <v>0.0</v>
      </c>
      <c r="D82" s="6">
        <v>1.0</v>
      </c>
      <c r="E82" s="6">
        <v>0.0</v>
      </c>
      <c r="F82" s="6">
        <v>120.99</v>
      </c>
      <c r="G82" s="6">
        <v>0.0</v>
      </c>
    </row>
    <row r="83">
      <c r="A83" s="6">
        <v>82.0</v>
      </c>
      <c r="B83" s="6" t="s">
        <v>51</v>
      </c>
      <c r="C83" s="6">
        <v>1.0</v>
      </c>
      <c r="D83" s="6">
        <v>0.0</v>
      </c>
      <c r="E83" s="6">
        <v>0.0</v>
      </c>
      <c r="F83" s="6">
        <v>89.3</v>
      </c>
      <c r="G83" s="6">
        <v>0.0</v>
      </c>
    </row>
    <row r="84">
      <c r="A84" s="6">
        <v>83.0</v>
      </c>
      <c r="B84" s="6" t="s">
        <v>50</v>
      </c>
      <c r="C84" s="6">
        <v>1.0</v>
      </c>
      <c r="D84" s="6">
        <v>0.0</v>
      </c>
      <c r="E84" s="6">
        <v>0.0</v>
      </c>
      <c r="F84" s="6">
        <v>126.35</v>
      </c>
      <c r="G84" s="6">
        <v>0.0</v>
      </c>
    </row>
    <row r="85">
      <c r="A85" s="6">
        <v>84.0</v>
      </c>
      <c r="B85" s="6" t="s">
        <v>50</v>
      </c>
      <c r="C85" s="6">
        <v>1.0</v>
      </c>
      <c r="D85" s="6">
        <v>0.0</v>
      </c>
      <c r="E85" s="6">
        <v>0.0</v>
      </c>
      <c r="F85" s="6">
        <v>103.95</v>
      </c>
      <c r="G85" s="6">
        <v>0.0</v>
      </c>
    </row>
    <row r="86">
      <c r="A86" s="6">
        <v>85.0</v>
      </c>
      <c r="B86" s="6" t="s">
        <v>50</v>
      </c>
      <c r="C86" s="6">
        <v>1.0</v>
      </c>
      <c r="D86" s="6">
        <v>1.0</v>
      </c>
      <c r="E86" s="6">
        <v>0.0</v>
      </c>
      <c r="F86" s="6">
        <v>141.51</v>
      </c>
      <c r="G86" s="6">
        <v>150.0</v>
      </c>
    </row>
    <row r="87">
      <c r="A87" s="6">
        <v>86.0</v>
      </c>
      <c r="B87" s="6" t="s">
        <v>50</v>
      </c>
      <c r="C87" s="6">
        <v>1.0</v>
      </c>
      <c r="D87" s="6">
        <v>0.0</v>
      </c>
      <c r="E87" s="6">
        <v>0.0</v>
      </c>
      <c r="F87" s="6">
        <v>86.22</v>
      </c>
      <c r="G87" s="6">
        <v>0.0</v>
      </c>
    </row>
    <row r="88">
      <c r="A88" s="6">
        <v>87.0</v>
      </c>
      <c r="B88" s="6" t="s">
        <v>51</v>
      </c>
      <c r="C88" s="6">
        <v>0.0</v>
      </c>
      <c r="D88" s="6">
        <v>0.0</v>
      </c>
      <c r="E88" s="6">
        <v>0.0</v>
      </c>
      <c r="F88" s="6">
        <v>134.72</v>
      </c>
      <c r="G88" s="6">
        <v>150.0</v>
      </c>
    </row>
    <row r="89">
      <c r="A89" s="6">
        <v>88.0</v>
      </c>
      <c r="B89" s="6" t="s">
        <v>51</v>
      </c>
      <c r="C89" s="6">
        <v>0.0</v>
      </c>
      <c r="D89" s="6">
        <v>0.0</v>
      </c>
      <c r="E89" s="6">
        <v>0.0</v>
      </c>
      <c r="F89" s="6">
        <v>103.96</v>
      </c>
      <c r="G89" s="6">
        <v>100.0</v>
      </c>
    </row>
    <row r="90">
      <c r="A90" s="6">
        <v>89.0</v>
      </c>
      <c r="B90" s="6" t="s">
        <v>51</v>
      </c>
      <c r="C90" s="6">
        <v>1.0</v>
      </c>
      <c r="D90" s="6">
        <v>1.0</v>
      </c>
      <c r="E90" s="6">
        <v>0.0</v>
      </c>
      <c r="F90" s="6">
        <v>86.97</v>
      </c>
      <c r="G90" s="6">
        <v>0.0</v>
      </c>
    </row>
    <row r="91">
      <c r="A91" s="6">
        <v>90.0</v>
      </c>
      <c r="B91" s="6" t="s">
        <v>50</v>
      </c>
      <c r="C91" s="6">
        <v>1.0</v>
      </c>
      <c r="D91" s="6">
        <v>0.0</v>
      </c>
      <c r="E91" s="6">
        <v>1.0</v>
      </c>
      <c r="F91" s="6">
        <v>90.32</v>
      </c>
      <c r="G91" s="6">
        <v>150.0</v>
      </c>
    </row>
    <row r="92">
      <c r="A92" s="6">
        <v>91.0</v>
      </c>
      <c r="B92" s="6" t="s">
        <v>50</v>
      </c>
      <c r="C92" s="6">
        <v>1.0</v>
      </c>
      <c r="D92" s="6">
        <v>0.0</v>
      </c>
      <c r="E92" s="6">
        <v>0.0</v>
      </c>
      <c r="F92" s="6">
        <v>93.59</v>
      </c>
      <c r="G92" s="6">
        <v>0.0</v>
      </c>
    </row>
    <row r="93">
      <c r="A93" s="6">
        <v>92.0</v>
      </c>
      <c r="B93" s="6" t="s">
        <v>51</v>
      </c>
      <c r="C93" s="6">
        <v>0.0</v>
      </c>
      <c r="D93" s="6">
        <v>0.0</v>
      </c>
      <c r="E93" s="6">
        <v>0.0</v>
      </c>
      <c r="F93" s="6">
        <v>108.48</v>
      </c>
      <c r="G93" s="6">
        <v>100.0</v>
      </c>
    </row>
    <row r="94">
      <c r="A94" s="6">
        <v>93.0</v>
      </c>
      <c r="B94" s="6" t="s">
        <v>51</v>
      </c>
      <c r="C94" s="6">
        <v>0.0</v>
      </c>
      <c r="D94" s="6">
        <v>0.0</v>
      </c>
      <c r="E94" s="6">
        <v>0.0</v>
      </c>
      <c r="F94" s="6">
        <v>110.46</v>
      </c>
      <c r="G94" s="6">
        <v>0.0</v>
      </c>
    </row>
    <row r="95">
      <c r="A95" s="6">
        <v>94.0</v>
      </c>
      <c r="B95" s="6" t="s">
        <v>51</v>
      </c>
      <c r="C95" s="6">
        <v>1.0</v>
      </c>
      <c r="D95" s="6">
        <v>0.0</v>
      </c>
      <c r="E95" s="6">
        <v>0.0</v>
      </c>
      <c r="F95" s="6">
        <v>88.53</v>
      </c>
      <c r="G95" s="6">
        <v>100.0</v>
      </c>
    </row>
    <row r="96">
      <c r="A96" s="6">
        <v>95.0</v>
      </c>
      <c r="B96" s="6" t="s">
        <v>51</v>
      </c>
      <c r="C96" s="6">
        <v>0.0</v>
      </c>
      <c r="D96" s="6">
        <v>0.0</v>
      </c>
      <c r="E96" s="6">
        <v>0.0</v>
      </c>
      <c r="F96" s="6">
        <v>99.51</v>
      </c>
      <c r="G96" s="6">
        <v>100.0</v>
      </c>
    </row>
    <row r="97">
      <c r="A97" s="6">
        <v>96.0</v>
      </c>
      <c r="B97" s="6" t="s">
        <v>50</v>
      </c>
      <c r="C97" s="6">
        <v>1.0</v>
      </c>
      <c r="D97" s="6">
        <v>0.0</v>
      </c>
      <c r="E97" s="6">
        <v>0.0</v>
      </c>
      <c r="F97" s="6">
        <v>142.85</v>
      </c>
      <c r="G97" s="6">
        <v>100.0</v>
      </c>
    </row>
    <row r="98">
      <c r="A98" s="6">
        <v>97.0</v>
      </c>
      <c r="B98" s="6" t="s">
        <v>51</v>
      </c>
      <c r="C98" s="6">
        <v>1.0</v>
      </c>
      <c r="D98" s="6">
        <v>0.0</v>
      </c>
      <c r="E98" s="6">
        <v>1.0</v>
      </c>
      <c r="F98" s="6">
        <v>134.55</v>
      </c>
      <c r="G98" s="6">
        <v>50.0</v>
      </c>
    </row>
    <row r="99">
      <c r="A99" s="6">
        <v>98.0</v>
      </c>
      <c r="B99" s="6" t="s">
        <v>50</v>
      </c>
      <c r="C99" s="6">
        <v>0.0</v>
      </c>
      <c r="D99" s="6">
        <v>0.0</v>
      </c>
      <c r="E99" s="6">
        <v>0.0</v>
      </c>
      <c r="F99" s="6">
        <v>108.73</v>
      </c>
      <c r="G99" s="6">
        <v>0.0</v>
      </c>
    </row>
    <row r="100">
      <c r="A100" s="6">
        <v>99.0</v>
      </c>
      <c r="B100" s="6" t="s">
        <v>50</v>
      </c>
      <c r="C100" s="6">
        <v>1.0</v>
      </c>
      <c r="D100" s="6">
        <v>0.0</v>
      </c>
      <c r="E100" s="6">
        <v>1.0</v>
      </c>
      <c r="F100" s="6">
        <v>100.76</v>
      </c>
      <c r="G100" s="6">
        <v>0.0</v>
      </c>
    </row>
    <row r="101">
      <c r="A101" s="6">
        <v>100.0</v>
      </c>
      <c r="B101" s="6" t="s">
        <v>50</v>
      </c>
      <c r="C101" s="6">
        <v>1.0</v>
      </c>
      <c r="D101" s="6">
        <v>0.0</v>
      </c>
      <c r="E101" s="6">
        <v>0.0</v>
      </c>
      <c r="F101" s="6">
        <v>102.4</v>
      </c>
      <c r="G101" s="6">
        <v>0.0</v>
      </c>
    </row>
    <row r="102">
      <c r="A102" s="6">
        <v>101.0</v>
      </c>
      <c r="B102" s="6" t="s">
        <v>50</v>
      </c>
      <c r="C102" s="6">
        <v>0.0</v>
      </c>
      <c r="D102" s="6">
        <v>0.0</v>
      </c>
      <c r="E102" s="6">
        <v>0.0</v>
      </c>
      <c r="F102" s="6">
        <v>112.27</v>
      </c>
      <c r="G102" s="6">
        <v>0.0</v>
      </c>
    </row>
    <row r="103">
      <c r="A103" s="6">
        <v>102.0</v>
      </c>
      <c r="B103" s="6" t="s">
        <v>51</v>
      </c>
      <c r="C103" s="6">
        <v>1.0</v>
      </c>
      <c r="D103" s="6">
        <v>0.0</v>
      </c>
      <c r="E103" s="6">
        <v>0.0</v>
      </c>
      <c r="F103" s="6">
        <v>79.54</v>
      </c>
      <c r="G103" s="6">
        <v>0.0</v>
      </c>
    </row>
    <row r="104">
      <c r="A104" s="6">
        <v>103.0</v>
      </c>
      <c r="B104" s="6" t="s">
        <v>50</v>
      </c>
      <c r="C104" s="6">
        <v>0.0</v>
      </c>
      <c r="D104" s="6">
        <v>0.0</v>
      </c>
      <c r="E104" s="6">
        <v>1.0</v>
      </c>
      <c r="F104" s="6">
        <v>94.85</v>
      </c>
      <c r="G104" s="6">
        <v>0.0</v>
      </c>
    </row>
    <row r="105">
      <c r="A105" s="6">
        <v>104.0</v>
      </c>
      <c r="B105" s="6" t="s">
        <v>51</v>
      </c>
      <c r="C105" s="6">
        <v>1.0</v>
      </c>
      <c r="D105" s="6">
        <v>0.0</v>
      </c>
      <c r="E105" s="6">
        <v>0.0</v>
      </c>
      <c r="F105" s="6">
        <v>66.63</v>
      </c>
      <c r="G105" s="6">
        <v>150.0</v>
      </c>
    </row>
    <row r="106">
      <c r="A106" s="6">
        <v>105.0</v>
      </c>
      <c r="B106" s="6" t="s">
        <v>51</v>
      </c>
      <c r="C106" s="6">
        <v>0.0</v>
      </c>
      <c r="D106" s="6">
        <v>0.0</v>
      </c>
      <c r="E106" s="6">
        <v>1.0</v>
      </c>
      <c r="F106" s="6">
        <v>107.98</v>
      </c>
      <c r="G106" s="6">
        <v>0.0</v>
      </c>
    </row>
    <row r="107">
      <c r="A107" s="6">
        <v>106.0</v>
      </c>
      <c r="B107" s="6" t="s">
        <v>50</v>
      </c>
      <c r="C107" s="6">
        <v>1.0</v>
      </c>
      <c r="D107" s="6">
        <v>1.0</v>
      </c>
      <c r="E107" s="6">
        <v>0.0</v>
      </c>
      <c r="F107" s="6">
        <v>112.94</v>
      </c>
      <c r="G107" s="6">
        <v>100.0</v>
      </c>
    </row>
    <row r="108">
      <c r="A108" s="6">
        <v>107.0</v>
      </c>
      <c r="B108" s="6" t="s">
        <v>50</v>
      </c>
      <c r="C108" s="6">
        <v>0.0</v>
      </c>
      <c r="D108" s="6">
        <v>0.0</v>
      </c>
      <c r="E108" s="6">
        <v>0.0</v>
      </c>
      <c r="F108" s="6">
        <v>90.34</v>
      </c>
      <c r="G108" s="6">
        <v>0.0</v>
      </c>
    </row>
    <row r="109">
      <c r="A109" s="6">
        <v>108.0</v>
      </c>
      <c r="B109" s="6" t="s">
        <v>51</v>
      </c>
      <c r="C109" s="6">
        <v>0.0</v>
      </c>
      <c r="D109" s="6">
        <v>1.0</v>
      </c>
      <c r="E109" s="6">
        <v>1.0</v>
      </c>
      <c r="F109" s="6">
        <v>131.48</v>
      </c>
      <c r="G109" s="6">
        <v>100.0</v>
      </c>
    </row>
    <row r="110">
      <c r="A110" s="6">
        <v>109.0</v>
      </c>
      <c r="B110" s="6" t="s">
        <v>50</v>
      </c>
      <c r="C110" s="6">
        <v>1.0</v>
      </c>
      <c r="D110" s="6">
        <v>0.0</v>
      </c>
      <c r="E110" s="6">
        <v>0.0</v>
      </c>
      <c r="F110" s="6">
        <v>75.48</v>
      </c>
      <c r="G110" s="6">
        <v>150.0</v>
      </c>
    </row>
    <row r="111">
      <c r="A111" s="6">
        <v>110.0</v>
      </c>
      <c r="B111" s="6" t="s">
        <v>50</v>
      </c>
      <c r="C111" s="6">
        <v>0.0</v>
      </c>
      <c r="D111" s="6">
        <v>0.0</v>
      </c>
      <c r="E111" s="6">
        <v>0.0</v>
      </c>
      <c r="F111" s="6">
        <v>70.71</v>
      </c>
      <c r="G111" s="6">
        <v>0.0</v>
      </c>
    </row>
    <row r="112">
      <c r="A112" s="6">
        <v>111.0</v>
      </c>
      <c r="B112" s="6" t="s">
        <v>50</v>
      </c>
      <c r="C112" s="6">
        <v>0.0</v>
      </c>
      <c r="D112" s="6">
        <v>1.0</v>
      </c>
      <c r="E112" s="6">
        <v>0.0</v>
      </c>
      <c r="F112" s="6">
        <v>104.49</v>
      </c>
      <c r="G112" s="6">
        <v>0.0</v>
      </c>
    </row>
    <row r="113">
      <c r="A113" s="6">
        <v>112.0</v>
      </c>
      <c r="B113" s="6" t="s">
        <v>50</v>
      </c>
      <c r="C113" s="6">
        <v>1.0</v>
      </c>
      <c r="D113" s="6">
        <v>0.0</v>
      </c>
      <c r="E113" s="6">
        <v>1.0</v>
      </c>
      <c r="F113" s="6">
        <v>120.94</v>
      </c>
      <c r="G113" s="6">
        <v>50.0</v>
      </c>
    </row>
    <row r="114">
      <c r="A114" s="6">
        <v>113.0</v>
      </c>
      <c r="B114" s="6" t="s">
        <v>51</v>
      </c>
      <c r="C114" s="6">
        <v>1.0</v>
      </c>
      <c r="D114" s="6">
        <v>0.0</v>
      </c>
      <c r="E114" s="6">
        <v>1.0</v>
      </c>
      <c r="F114" s="6">
        <v>133.68</v>
      </c>
      <c r="G114" s="6">
        <v>0.0</v>
      </c>
    </row>
    <row r="115">
      <c r="A115" s="6">
        <v>114.0</v>
      </c>
      <c r="B115" s="6" t="s">
        <v>51</v>
      </c>
      <c r="C115" s="6">
        <v>0.0</v>
      </c>
      <c r="D115" s="6">
        <v>0.0</v>
      </c>
      <c r="E115" s="6">
        <v>0.0</v>
      </c>
      <c r="F115" s="6">
        <v>90.82</v>
      </c>
      <c r="G115" s="6">
        <v>0.0</v>
      </c>
    </row>
    <row r="116">
      <c r="A116" s="6">
        <v>115.0</v>
      </c>
      <c r="B116" s="6" t="s">
        <v>51</v>
      </c>
      <c r="C116" s="6">
        <v>1.0</v>
      </c>
      <c r="D116" s="6">
        <v>0.0</v>
      </c>
      <c r="E116" s="6">
        <v>0.0</v>
      </c>
      <c r="F116" s="6">
        <v>121.57</v>
      </c>
      <c r="G116" s="6">
        <v>0.0</v>
      </c>
    </row>
    <row r="117">
      <c r="A117" s="6">
        <v>116.0</v>
      </c>
      <c r="B117" s="6" t="s">
        <v>51</v>
      </c>
      <c r="C117" s="6">
        <v>0.0</v>
      </c>
      <c r="D117" s="6">
        <v>1.0</v>
      </c>
      <c r="E117" s="6">
        <v>1.0</v>
      </c>
      <c r="F117" s="6">
        <v>99.23</v>
      </c>
      <c r="G117" s="6">
        <v>0.0</v>
      </c>
    </row>
    <row r="118">
      <c r="A118" s="6">
        <v>117.0</v>
      </c>
      <c r="B118" s="6" t="s">
        <v>51</v>
      </c>
      <c r="C118" s="6">
        <v>0.0</v>
      </c>
      <c r="D118" s="6">
        <v>1.0</v>
      </c>
      <c r="E118" s="6">
        <v>0.0</v>
      </c>
      <c r="F118" s="6">
        <v>96.55</v>
      </c>
      <c r="G118" s="6">
        <v>0.0</v>
      </c>
    </row>
    <row r="119">
      <c r="A119" s="6">
        <v>118.0</v>
      </c>
      <c r="B119" s="6" t="s">
        <v>50</v>
      </c>
      <c r="C119" s="6">
        <v>0.0</v>
      </c>
      <c r="D119" s="6">
        <v>1.0</v>
      </c>
      <c r="E119" s="6">
        <v>0.0</v>
      </c>
      <c r="F119" s="6">
        <v>117.67</v>
      </c>
      <c r="G119" s="6">
        <v>0.0</v>
      </c>
    </row>
    <row r="120">
      <c r="A120" s="6">
        <v>119.0</v>
      </c>
      <c r="B120" s="6" t="s">
        <v>51</v>
      </c>
      <c r="C120" s="6">
        <v>1.0</v>
      </c>
      <c r="D120" s="6">
        <v>0.0</v>
      </c>
      <c r="E120" s="6">
        <v>1.0</v>
      </c>
      <c r="F120" s="6">
        <v>113.05</v>
      </c>
      <c r="G120" s="6">
        <v>0.0</v>
      </c>
    </row>
    <row r="121">
      <c r="A121" s="6">
        <v>120.0</v>
      </c>
      <c r="B121" s="6" t="s">
        <v>51</v>
      </c>
      <c r="C121" s="6">
        <v>1.0</v>
      </c>
      <c r="D121" s="6">
        <v>1.0</v>
      </c>
      <c r="E121" s="6">
        <v>0.0</v>
      </c>
      <c r="F121" s="6">
        <v>68.47</v>
      </c>
      <c r="G121" s="6">
        <v>0.0</v>
      </c>
    </row>
    <row r="122">
      <c r="A122" s="6">
        <v>121.0</v>
      </c>
      <c r="B122" s="6" t="s">
        <v>51</v>
      </c>
      <c r="C122" s="6">
        <v>1.0</v>
      </c>
      <c r="D122" s="6">
        <v>1.0</v>
      </c>
      <c r="E122" s="6">
        <v>0.0</v>
      </c>
      <c r="F122" s="6">
        <v>129.53</v>
      </c>
      <c r="G122" s="6">
        <v>150.0</v>
      </c>
    </row>
    <row r="123">
      <c r="A123" s="6">
        <v>122.0</v>
      </c>
      <c r="B123" s="6" t="s">
        <v>51</v>
      </c>
      <c r="C123" s="6">
        <v>1.0</v>
      </c>
      <c r="D123" s="6">
        <v>0.0</v>
      </c>
      <c r="E123" s="6">
        <v>0.0</v>
      </c>
      <c r="F123" s="6">
        <v>127.6</v>
      </c>
      <c r="G123" s="6">
        <v>0.0</v>
      </c>
    </row>
    <row r="124">
      <c r="A124" s="6">
        <v>123.0</v>
      </c>
      <c r="B124" s="6" t="s">
        <v>50</v>
      </c>
      <c r="C124" s="6">
        <v>0.0</v>
      </c>
      <c r="D124" s="6">
        <v>0.0</v>
      </c>
      <c r="E124" s="6">
        <v>1.0</v>
      </c>
      <c r="F124" s="6">
        <v>87.49</v>
      </c>
      <c r="G124" s="6">
        <v>150.0</v>
      </c>
    </row>
    <row r="125">
      <c r="A125" s="6">
        <v>124.0</v>
      </c>
      <c r="B125" s="6" t="s">
        <v>50</v>
      </c>
      <c r="C125" s="6">
        <v>0.0</v>
      </c>
      <c r="D125" s="6">
        <v>1.0</v>
      </c>
      <c r="E125" s="6">
        <v>1.0</v>
      </c>
      <c r="F125" s="6">
        <v>107.92</v>
      </c>
      <c r="G125" s="6">
        <v>0.0</v>
      </c>
    </row>
    <row r="126">
      <c r="A126" s="6">
        <v>125.0</v>
      </c>
      <c r="B126" s="6" t="s">
        <v>50</v>
      </c>
      <c r="C126" s="6">
        <v>0.0</v>
      </c>
      <c r="D126" s="6">
        <v>0.0</v>
      </c>
      <c r="E126" s="6">
        <v>1.0</v>
      </c>
      <c r="F126" s="6">
        <v>109.88</v>
      </c>
      <c r="G126" s="6">
        <v>0.0</v>
      </c>
    </row>
    <row r="127">
      <c r="A127" s="6">
        <v>126.0</v>
      </c>
      <c r="B127" s="6" t="s">
        <v>50</v>
      </c>
      <c r="C127" s="6">
        <v>0.0</v>
      </c>
      <c r="D127" s="6">
        <v>1.0</v>
      </c>
      <c r="E127" s="6">
        <v>0.0</v>
      </c>
      <c r="F127" s="6">
        <v>105.21</v>
      </c>
      <c r="G127" s="6">
        <v>0.0</v>
      </c>
    </row>
    <row r="128">
      <c r="A128" s="6">
        <v>127.0</v>
      </c>
      <c r="B128" s="6" t="s">
        <v>51</v>
      </c>
      <c r="C128" s="6">
        <v>0.0</v>
      </c>
      <c r="D128" s="6">
        <v>0.0</v>
      </c>
      <c r="E128" s="6">
        <v>1.0</v>
      </c>
      <c r="F128" s="6">
        <v>88.99</v>
      </c>
      <c r="G128" s="6">
        <v>0.0</v>
      </c>
    </row>
    <row r="129">
      <c r="A129" s="6">
        <v>128.0</v>
      </c>
      <c r="B129" s="6" t="s">
        <v>51</v>
      </c>
      <c r="C129" s="6">
        <v>1.0</v>
      </c>
      <c r="D129" s="6">
        <v>1.0</v>
      </c>
      <c r="E129" s="6">
        <v>1.0</v>
      </c>
      <c r="F129" s="6">
        <v>86.57</v>
      </c>
      <c r="G129" s="6">
        <v>0.0</v>
      </c>
    </row>
    <row r="130">
      <c r="A130" s="6">
        <v>129.0</v>
      </c>
      <c r="B130" s="6" t="s">
        <v>50</v>
      </c>
      <c r="C130" s="6">
        <v>0.0</v>
      </c>
      <c r="D130" s="6">
        <v>0.0</v>
      </c>
      <c r="E130" s="6">
        <v>0.0</v>
      </c>
      <c r="F130" s="6">
        <v>99.49</v>
      </c>
      <c r="G130" s="6">
        <v>0.0</v>
      </c>
    </row>
    <row r="131">
      <c r="A131" s="6">
        <v>130.0</v>
      </c>
      <c r="B131" s="6" t="s">
        <v>51</v>
      </c>
      <c r="C131" s="6">
        <v>0.0</v>
      </c>
      <c r="D131" s="6">
        <v>0.0</v>
      </c>
      <c r="E131" s="6">
        <v>1.0</v>
      </c>
      <c r="F131" s="6">
        <v>123.45</v>
      </c>
      <c r="G131" s="6">
        <v>0.0</v>
      </c>
    </row>
    <row r="132">
      <c r="A132" s="6">
        <v>131.0</v>
      </c>
      <c r="B132" s="6" t="s">
        <v>50</v>
      </c>
      <c r="C132" s="6">
        <v>0.0</v>
      </c>
      <c r="D132" s="6">
        <v>0.0</v>
      </c>
      <c r="E132" s="6">
        <v>0.0</v>
      </c>
      <c r="F132" s="6">
        <v>110.87</v>
      </c>
      <c r="G132" s="6">
        <v>0.0</v>
      </c>
    </row>
    <row r="133">
      <c r="A133" s="6">
        <v>132.0</v>
      </c>
      <c r="B133" s="6" t="s">
        <v>50</v>
      </c>
      <c r="C133" s="6">
        <v>1.0</v>
      </c>
      <c r="D133" s="6">
        <v>1.0</v>
      </c>
      <c r="E133" s="6">
        <v>0.0</v>
      </c>
      <c r="F133" s="6">
        <v>92.59</v>
      </c>
      <c r="G133" s="6">
        <v>0.0</v>
      </c>
    </row>
    <row r="134">
      <c r="A134" s="6">
        <v>133.0</v>
      </c>
      <c r="B134" s="6" t="s">
        <v>50</v>
      </c>
      <c r="C134" s="6">
        <v>1.0</v>
      </c>
      <c r="D134" s="6">
        <v>0.0</v>
      </c>
      <c r="E134" s="6">
        <v>0.0</v>
      </c>
      <c r="F134" s="6">
        <v>115.43</v>
      </c>
      <c r="G134" s="6">
        <v>0.0</v>
      </c>
    </row>
    <row r="135">
      <c r="A135" s="6">
        <v>134.0</v>
      </c>
      <c r="B135" s="6" t="s">
        <v>50</v>
      </c>
      <c r="C135" s="6">
        <v>0.0</v>
      </c>
      <c r="D135" s="6">
        <v>0.0</v>
      </c>
      <c r="E135" s="6">
        <v>0.0</v>
      </c>
      <c r="F135" s="6">
        <v>43.03</v>
      </c>
      <c r="G135" s="6">
        <v>0.0</v>
      </c>
    </row>
    <row r="136">
      <c r="A136" s="6">
        <v>135.0</v>
      </c>
      <c r="B136" s="6" t="s">
        <v>51</v>
      </c>
      <c r="C136" s="6">
        <v>0.0</v>
      </c>
      <c r="D136" s="6">
        <v>0.0</v>
      </c>
      <c r="E136" s="6">
        <v>0.0</v>
      </c>
      <c r="F136" s="6">
        <v>122.98</v>
      </c>
      <c r="G136" s="6">
        <v>50.0</v>
      </c>
    </row>
    <row r="137">
      <c r="A137" s="6">
        <v>136.0</v>
      </c>
      <c r="B137" s="6" t="s">
        <v>50</v>
      </c>
      <c r="C137" s="6">
        <v>1.0</v>
      </c>
      <c r="D137" s="6">
        <v>1.0</v>
      </c>
      <c r="E137" s="6">
        <v>0.0</v>
      </c>
      <c r="F137" s="6">
        <v>65.21</v>
      </c>
      <c r="G137" s="6">
        <v>0.0</v>
      </c>
    </row>
    <row r="138">
      <c r="A138" s="6">
        <v>137.0</v>
      </c>
      <c r="B138" s="6" t="s">
        <v>51</v>
      </c>
      <c r="C138" s="6">
        <v>0.0</v>
      </c>
      <c r="D138" s="6">
        <v>0.0</v>
      </c>
      <c r="E138" s="6">
        <v>0.0</v>
      </c>
      <c r="F138" s="6">
        <v>92.75</v>
      </c>
      <c r="G138" s="6">
        <v>0.0</v>
      </c>
    </row>
    <row r="139">
      <c r="A139" s="6">
        <v>138.0</v>
      </c>
      <c r="B139" s="6" t="s">
        <v>51</v>
      </c>
      <c r="C139" s="6">
        <v>1.0</v>
      </c>
      <c r="D139" s="6">
        <v>1.0</v>
      </c>
      <c r="E139" s="6">
        <v>0.0</v>
      </c>
      <c r="F139" s="6">
        <v>77.61</v>
      </c>
      <c r="G139" s="6">
        <v>150.0</v>
      </c>
    </row>
    <row r="140">
      <c r="A140" s="6">
        <v>139.0</v>
      </c>
      <c r="B140" s="6" t="s">
        <v>50</v>
      </c>
      <c r="C140" s="6">
        <v>1.0</v>
      </c>
      <c r="D140" s="6">
        <v>0.0</v>
      </c>
      <c r="E140" s="6">
        <v>0.0</v>
      </c>
      <c r="F140" s="6">
        <v>74.11</v>
      </c>
      <c r="G140" s="6">
        <v>0.0</v>
      </c>
    </row>
    <row r="141">
      <c r="A141" s="6">
        <v>140.0</v>
      </c>
      <c r="B141" s="6" t="s">
        <v>51</v>
      </c>
      <c r="C141" s="6">
        <v>0.0</v>
      </c>
      <c r="D141" s="6">
        <v>0.0</v>
      </c>
      <c r="E141" s="6">
        <v>0.0</v>
      </c>
      <c r="F141" s="6">
        <v>123.22</v>
      </c>
      <c r="G141" s="6">
        <v>0.0</v>
      </c>
    </row>
    <row r="142">
      <c r="A142" s="6">
        <v>141.0</v>
      </c>
      <c r="B142" s="6" t="s">
        <v>51</v>
      </c>
      <c r="C142" s="6">
        <v>0.0</v>
      </c>
      <c r="D142" s="6">
        <v>0.0</v>
      </c>
      <c r="E142" s="6">
        <v>0.0</v>
      </c>
      <c r="F142" s="6">
        <v>90.65</v>
      </c>
      <c r="G142" s="6">
        <v>150.0</v>
      </c>
    </row>
    <row r="143">
      <c r="A143" s="6">
        <v>142.0</v>
      </c>
      <c r="B143" s="6" t="s">
        <v>50</v>
      </c>
      <c r="C143" s="6">
        <v>1.0</v>
      </c>
      <c r="D143" s="6">
        <v>0.0</v>
      </c>
      <c r="E143" s="6">
        <v>0.0</v>
      </c>
      <c r="F143" s="6">
        <v>106.93</v>
      </c>
      <c r="G143" s="6">
        <v>0.0</v>
      </c>
    </row>
    <row r="144">
      <c r="A144" s="6">
        <v>143.0</v>
      </c>
      <c r="B144" s="6" t="s">
        <v>50</v>
      </c>
      <c r="C144" s="6">
        <v>0.0</v>
      </c>
      <c r="D144" s="6">
        <v>1.0</v>
      </c>
      <c r="E144" s="6">
        <v>0.0</v>
      </c>
      <c r="F144" s="6">
        <v>99.06</v>
      </c>
      <c r="G144" s="6">
        <v>0.0</v>
      </c>
    </row>
    <row r="145">
      <c r="A145" s="6">
        <v>144.0</v>
      </c>
      <c r="B145" s="6" t="s">
        <v>50</v>
      </c>
      <c r="C145" s="6">
        <v>0.0</v>
      </c>
      <c r="D145" s="6">
        <v>0.0</v>
      </c>
      <c r="E145" s="6">
        <v>0.0</v>
      </c>
      <c r="F145" s="6">
        <v>109.54</v>
      </c>
      <c r="G145" s="6">
        <v>0.0</v>
      </c>
    </row>
    <row r="146">
      <c r="A146" s="6">
        <v>145.0</v>
      </c>
      <c r="B146" s="6" t="s">
        <v>50</v>
      </c>
      <c r="C146" s="6">
        <v>1.0</v>
      </c>
      <c r="D146" s="6">
        <v>0.0</v>
      </c>
      <c r="E146" s="6">
        <v>1.0</v>
      </c>
      <c r="F146" s="6">
        <v>101.54</v>
      </c>
      <c r="G146" s="6">
        <v>0.0</v>
      </c>
    </row>
    <row r="147">
      <c r="A147" s="6">
        <v>146.0</v>
      </c>
      <c r="B147" s="6" t="s">
        <v>50</v>
      </c>
      <c r="C147" s="6">
        <v>1.0</v>
      </c>
      <c r="D147" s="6">
        <v>1.0</v>
      </c>
      <c r="E147" s="6">
        <v>0.0</v>
      </c>
      <c r="F147" s="6">
        <v>74.34</v>
      </c>
      <c r="G147" s="6">
        <v>0.0</v>
      </c>
    </row>
    <row r="148">
      <c r="A148" s="6">
        <v>147.0</v>
      </c>
      <c r="B148" s="6" t="s">
        <v>51</v>
      </c>
      <c r="C148" s="6">
        <v>1.0</v>
      </c>
      <c r="D148" s="6">
        <v>0.0</v>
      </c>
      <c r="E148" s="6">
        <v>0.0</v>
      </c>
      <c r="F148" s="6">
        <v>119.93</v>
      </c>
      <c r="G148" s="6">
        <v>0.0</v>
      </c>
    </row>
    <row r="149">
      <c r="A149" s="6">
        <v>148.0</v>
      </c>
      <c r="B149" s="6" t="s">
        <v>51</v>
      </c>
      <c r="C149" s="6">
        <v>1.0</v>
      </c>
      <c r="D149" s="6">
        <v>0.0</v>
      </c>
      <c r="E149" s="6">
        <v>0.0</v>
      </c>
      <c r="F149" s="6">
        <v>90.12</v>
      </c>
      <c r="G149" s="6">
        <v>0.0</v>
      </c>
    </row>
    <row r="150">
      <c r="A150" s="6">
        <v>149.0</v>
      </c>
      <c r="B150" s="6" t="s">
        <v>50</v>
      </c>
      <c r="C150" s="6">
        <v>0.0</v>
      </c>
      <c r="D150" s="6">
        <v>1.0</v>
      </c>
      <c r="E150" s="6">
        <v>1.0</v>
      </c>
      <c r="F150" s="6">
        <v>68.87</v>
      </c>
      <c r="G150" s="6">
        <v>0.0</v>
      </c>
    </row>
    <row r="151">
      <c r="A151" s="6">
        <v>150.0</v>
      </c>
      <c r="B151" s="6" t="s">
        <v>50</v>
      </c>
      <c r="C151" s="6">
        <v>0.0</v>
      </c>
      <c r="D151" s="6">
        <v>0.0</v>
      </c>
      <c r="E151" s="6">
        <v>0.0</v>
      </c>
      <c r="F151" s="6">
        <v>91.44</v>
      </c>
      <c r="G151" s="6">
        <v>150.0</v>
      </c>
    </row>
    <row r="152">
      <c r="A152" s="6">
        <v>151.0</v>
      </c>
      <c r="B152" s="6" t="s">
        <v>51</v>
      </c>
      <c r="C152" s="6">
        <v>1.0</v>
      </c>
      <c r="D152" s="6">
        <v>0.0</v>
      </c>
      <c r="E152" s="6">
        <v>1.0</v>
      </c>
      <c r="F152" s="6">
        <v>130.02</v>
      </c>
      <c r="G152" s="6">
        <v>100.0</v>
      </c>
    </row>
    <row r="153">
      <c r="A153" s="6">
        <v>152.0</v>
      </c>
      <c r="B153" s="6" t="s">
        <v>50</v>
      </c>
      <c r="C153" s="6">
        <v>0.0</v>
      </c>
      <c r="D153" s="6">
        <v>1.0</v>
      </c>
      <c r="E153" s="6">
        <v>0.0</v>
      </c>
      <c r="F153" s="6">
        <v>117.0</v>
      </c>
      <c r="G153" s="6">
        <v>0.0</v>
      </c>
    </row>
    <row r="154">
      <c r="A154" s="6">
        <v>153.0</v>
      </c>
      <c r="B154" s="6" t="s">
        <v>50</v>
      </c>
      <c r="C154" s="6">
        <v>0.0</v>
      </c>
      <c r="D154" s="6">
        <v>0.0</v>
      </c>
      <c r="E154" s="6">
        <v>1.0</v>
      </c>
      <c r="F154" s="6">
        <v>93.03</v>
      </c>
      <c r="G154" s="6">
        <v>0.0</v>
      </c>
    </row>
    <row r="155">
      <c r="A155" s="6">
        <v>154.0</v>
      </c>
      <c r="B155" s="6" t="s">
        <v>50</v>
      </c>
      <c r="C155" s="6">
        <v>1.0</v>
      </c>
      <c r="D155" s="6">
        <v>0.0</v>
      </c>
      <c r="E155" s="6">
        <v>0.0</v>
      </c>
      <c r="F155" s="6">
        <v>93.01</v>
      </c>
      <c r="G155" s="6">
        <v>0.0</v>
      </c>
    </row>
    <row r="156">
      <c r="A156" s="6">
        <v>155.0</v>
      </c>
      <c r="B156" s="6" t="s">
        <v>51</v>
      </c>
      <c r="C156" s="6">
        <v>0.0</v>
      </c>
      <c r="D156" s="6">
        <v>0.0</v>
      </c>
      <c r="E156" s="6">
        <v>1.0</v>
      </c>
      <c r="F156" s="6">
        <v>93.57</v>
      </c>
      <c r="G156" s="6">
        <v>0.0</v>
      </c>
    </row>
    <row r="157">
      <c r="A157" s="6">
        <v>156.0</v>
      </c>
      <c r="B157" s="6" t="s">
        <v>50</v>
      </c>
      <c r="C157" s="6">
        <v>0.0</v>
      </c>
      <c r="D157" s="6">
        <v>1.0</v>
      </c>
      <c r="E157" s="6">
        <v>0.0</v>
      </c>
      <c r="F157" s="6">
        <v>141.53</v>
      </c>
      <c r="G157" s="6">
        <v>0.0</v>
      </c>
    </row>
    <row r="158">
      <c r="A158" s="6">
        <v>157.0</v>
      </c>
      <c r="B158" s="6" t="s">
        <v>51</v>
      </c>
      <c r="C158" s="6">
        <v>0.0</v>
      </c>
      <c r="D158" s="6">
        <v>0.0</v>
      </c>
      <c r="E158" s="6">
        <v>0.0</v>
      </c>
      <c r="F158" s="6">
        <v>107.64</v>
      </c>
      <c r="G158" s="6">
        <v>0.0</v>
      </c>
    </row>
    <row r="159">
      <c r="A159" s="6">
        <v>158.0</v>
      </c>
      <c r="B159" s="6" t="s">
        <v>51</v>
      </c>
      <c r="C159" s="6">
        <v>0.0</v>
      </c>
      <c r="D159" s="6">
        <v>0.0</v>
      </c>
      <c r="E159" s="6">
        <v>0.0</v>
      </c>
      <c r="F159" s="6">
        <v>108.6</v>
      </c>
      <c r="G159" s="6">
        <v>100.0</v>
      </c>
    </row>
    <row r="160">
      <c r="A160" s="6">
        <v>159.0</v>
      </c>
      <c r="B160" s="6" t="s">
        <v>50</v>
      </c>
      <c r="C160" s="6">
        <v>0.0</v>
      </c>
      <c r="D160" s="6">
        <v>1.0</v>
      </c>
      <c r="E160" s="6">
        <v>0.0</v>
      </c>
      <c r="F160" s="6">
        <v>120.61</v>
      </c>
      <c r="G160" s="6">
        <v>0.0</v>
      </c>
    </row>
    <row r="161">
      <c r="A161" s="6">
        <v>160.0</v>
      </c>
      <c r="B161" s="6" t="s">
        <v>51</v>
      </c>
      <c r="C161" s="6">
        <v>0.0</v>
      </c>
      <c r="D161" s="6">
        <v>1.0</v>
      </c>
      <c r="E161" s="6">
        <v>0.0</v>
      </c>
      <c r="F161" s="6">
        <v>104.78</v>
      </c>
      <c r="G161" s="6">
        <v>0.0</v>
      </c>
    </row>
    <row r="162">
      <c r="A162" s="6">
        <v>161.0</v>
      </c>
      <c r="B162" s="6" t="s">
        <v>50</v>
      </c>
      <c r="C162" s="6">
        <v>0.0</v>
      </c>
      <c r="D162" s="6">
        <v>0.0</v>
      </c>
      <c r="E162" s="6">
        <v>1.0</v>
      </c>
      <c r="F162" s="6">
        <v>94.82</v>
      </c>
      <c r="G162" s="6">
        <v>0.0</v>
      </c>
    </row>
    <row r="163">
      <c r="A163" s="6">
        <v>162.0</v>
      </c>
      <c r="B163" s="6" t="s">
        <v>51</v>
      </c>
      <c r="C163" s="6">
        <v>1.0</v>
      </c>
      <c r="D163" s="6">
        <v>0.0</v>
      </c>
      <c r="E163" s="6">
        <v>1.0</v>
      </c>
      <c r="F163" s="6">
        <v>96.07</v>
      </c>
      <c r="G163" s="6">
        <v>0.0</v>
      </c>
    </row>
    <row r="164">
      <c r="A164" s="6">
        <v>163.0</v>
      </c>
      <c r="B164" s="6" t="s">
        <v>51</v>
      </c>
      <c r="C164" s="6">
        <v>1.0</v>
      </c>
      <c r="D164" s="6">
        <v>0.0</v>
      </c>
      <c r="E164" s="6">
        <v>0.0</v>
      </c>
      <c r="F164" s="6">
        <v>98.57</v>
      </c>
      <c r="G164" s="6">
        <v>100.0</v>
      </c>
    </row>
    <row r="165">
      <c r="A165" s="6">
        <v>164.0</v>
      </c>
      <c r="B165" s="6" t="s">
        <v>51</v>
      </c>
      <c r="C165" s="6">
        <v>0.0</v>
      </c>
      <c r="D165" s="6">
        <v>1.0</v>
      </c>
      <c r="E165" s="6">
        <v>0.0</v>
      </c>
      <c r="F165" s="6">
        <v>99.26</v>
      </c>
      <c r="G165" s="6">
        <v>50.0</v>
      </c>
    </row>
    <row r="166">
      <c r="A166" s="6">
        <v>165.0</v>
      </c>
      <c r="B166" s="6" t="s">
        <v>50</v>
      </c>
      <c r="C166" s="6">
        <v>1.0</v>
      </c>
      <c r="D166" s="6">
        <v>0.0</v>
      </c>
      <c r="E166" s="6">
        <v>0.0</v>
      </c>
      <c r="F166" s="6">
        <v>114.55</v>
      </c>
      <c r="G166" s="6">
        <v>50.0</v>
      </c>
    </row>
    <row r="167">
      <c r="A167" s="6">
        <v>166.0</v>
      </c>
      <c r="B167" s="6" t="s">
        <v>51</v>
      </c>
      <c r="C167" s="6">
        <v>0.0</v>
      </c>
      <c r="D167" s="6">
        <v>0.0</v>
      </c>
      <c r="E167" s="6">
        <v>0.0</v>
      </c>
      <c r="F167" s="6">
        <v>101.04</v>
      </c>
      <c r="G167" s="6">
        <v>0.0</v>
      </c>
    </row>
    <row r="168">
      <c r="A168" s="6">
        <v>167.0</v>
      </c>
      <c r="B168" s="6" t="s">
        <v>50</v>
      </c>
      <c r="C168" s="6">
        <v>0.0</v>
      </c>
      <c r="D168" s="6">
        <v>1.0</v>
      </c>
      <c r="E168" s="6">
        <v>0.0</v>
      </c>
      <c r="F168" s="6">
        <v>114.65</v>
      </c>
      <c r="G168" s="6">
        <v>0.0</v>
      </c>
    </row>
    <row r="169">
      <c r="A169" s="6">
        <v>168.0</v>
      </c>
      <c r="B169" s="6" t="s">
        <v>50</v>
      </c>
      <c r="C169" s="6">
        <v>1.0</v>
      </c>
      <c r="D169" s="6">
        <v>1.0</v>
      </c>
      <c r="E169" s="6">
        <v>0.0</v>
      </c>
      <c r="F169" s="6">
        <v>98.39</v>
      </c>
      <c r="G169" s="6">
        <v>0.0</v>
      </c>
    </row>
    <row r="170">
      <c r="A170" s="6">
        <v>169.0</v>
      </c>
      <c r="B170" s="6" t="s">
        <v>50</v>
      </c>
      <c r="C170" s="6">
        <v>0.0</v>
      </c>
      <c r="D170" s="6">
        <v>0.0</v>
      </c>
      <c r="E170" s="6">
        <v>0.0</v>
      </c>
      <c r="F170" s="6">
        <v>101.57</v>
      </c>
      <c r="G170" s="6">
        <v>0.0</v>
      </c>
    </row>
    <row r="171">
      <c r="A171" s="6">
        <v>170.0</v>
      </c>
      <c r="B171" s="6" t="s">
        <v>51</v>
      </c>
      <c r="C171" s="6">
        <v>1.0</v>
      </c>
      <c r="D171" s="6">
        <v>1.0</v>
      </c>
      <c r="E171" s="6">
        <v>0.0</v>
      </c>
      <c r="F171" s="6">
        <v>60.04</v>
      </c>
      <c r="G171" s="6">
        <v>0.0</v>
      </c>
    </row>
    <row r="172">
      <c r="A172" s="6">
        <v>171.0</v>
      </c>
      <c r="B172" s="6" t="s">
        <v>51</v>
      </c>
      <c r="C172" s="6">
        <v>0.0</v>
      </c>
      <c r="D172" s="6">
        <v>0.0</v>
      </c>
      <c r="E172" s="6">
        <v>0.0</v>
      </c>
      <c r="F172" s="6">
        <v>118.33</v>
      </c>
      <c r="G172" s="6">
        <v>50.0</v>
      </c>
    </row>
    <row r="173">
      <c r="A173" s="6">
        <v>172.0</v>
      </c>
      <c r="B173" s="6" t="s">
        <v>50</v>
      </c>
      <c r="C173" s="6">
        <v>1.0</v>
      </c>
      <c r="D173" s="6">
        <v>1.0</v>
      </c>
      <c r="E173" s="6">
        <v>0.0</v>
      </c>
      <c r="F173" s="6">
        <v>106.93</v>
      </c>
      <c r="G173" s="6">
        <v>0.0</v>
      </c>
    </row>
    <row r="174">
      <c r="A174" s="6">
        <v>173.0</v>
      </c>
      <c r="B174" s="6" t="s">
        <v>51</v>
      </c>
      <c r="C174" s="6">
        <v>0.0</v>
      </c>
      <c r="D174" s="6">
        <v>0.0</v>
      </c>
      <c r="E174" s="6">
        <v>0.0</v>
      </c>
      <c r="F174" s="6">
        <v>119.96</v>
      </c>
      <c r="G174" s="6">
        <v>0.0</v>
      </c>
    </row>
    <row r="175">
      <c r="A175" s="6">
        <v>174.0</v>
      </c>
      <c r="B175" s="6" t="s">
        <v>50</v>
      </c>
      <c r="C175" s="6">
        <v>1.0</v>
      </c>
      <c r="D175" s="6">
        <v>0.0</v>
      </c>
      <c r="E175" s="6">
        <v>0.0</v>
      </c>
      <c r="F175" s="6">
        <v>42.07</v>
      </c>
      <c r="G175" s="6">
        <v>0.0</v>
      </c>
    </row>
    <row r="176">
      <c r="A176" s="6">
        <v>175.0</v>
      </c>
      <c r="B176" s="6" t="s">
        <v>51</v>
      </c>
      <c r="C176" s="6">
        <v>0.0</v>
      </c>
      <c r="D176" s="6">
        <v>1.0</v>
      </c>
      <c r="E176" s="6">
        <v>1.0</v>
      </c>
      <c r="F176" s="6">
        <v>141.77</v>
      </c>
      <c r="G176" s="6">
        <v>0.0</v>
      </c>
    </row>
    <row r="177">
      <c r="A177" s="6">
        <v>176.0</v>
      </c>
      <c r="B177" s="6" t="s">
        <v>50</v>
      </c>
      <c r="C177" s="6">
        <v>1.0</v>
      </c>
      <c r="D177" s="6">
        <v>0.0</v>
      </c>
      <c r="E177" s="6">
        <v>0.0</v>
      </c>
      <c r="F177" s="6">
        <v>97.21</v>
      </c>
      <c r="G177" s="6">
        <v>0.0</v>
      </c>
    </row>
    <row r="178">
      <c r="A178" s="6">
        <v>177.0</v>
      </c>
      <c r="B178" s="6" t="s">
        <v>51</v>
      </c>
      <c r="C178" s="6">
        <v>0.0</v>
      </c>
      <c r="D178" s="6">
        <v>0.0</v>
      </c>
      <c r="E178" s="6">
        <v>0.0</v>
      </c>
      <c r="F178" s="6">
        <v>122.16</v>
      </c>
      <c r="G178" s="6">
        <v>150.0</v>
      </c>
    </row>
    <row r="179">
      <c r="A179" s="6">
        <v>178.0</v>
      </c>
      <c r="B179" s="6" t="s">
        <v>50</v>
      </c>
      <c r="C179" s="6">
        <v>0.0</v>
      </c>
      <c r="D179" s="6">
        <v>1.0</v>
      </c>
      <c r="E179" s="6">
        <v>0.0</v>
      </c>
      <c r="F179" s="6">
        <v>79.2</v>
      </c>
      <c r="G179" s="6">
        <v>100.0</v>
      </c>
    </row>
    <row r="180">
      <c r="A180" s="6">
        <v>179.0</v>
      </c>
      <c r="B180" s="6" t="s">
        <v>51</v>
      </c>
      <c r="C180" s="6">
        <v>1.0</v>
      </c>
      <c r="D180" s="6">
        <v>1.0</v>
      </c>
      <c r="E180" s="6">
        <v>0.0</v>
      </c>
      <c r="F180" s="6">
        <v>112.26</v>
      </c>
      <c r="G180" s="6">
        <v>150.0</v>
      </c>
    </row>
    <row r="181">
      <c r="A181" s="6">
        <v>180.0</v>
      </c>
      <c r="B181" s="6" t="s">
        <v>50</v>
      </c>
      <c r="C181" s="6">
        <v>0.0</v>
      </c>
      <c r="D181" s="6">
        <v>0.0</v>
      </c>
      <c r="E181" s="6">
        <v>1.0</v>
      </c>
      <c r="F181" s="6">
        <v>78.93</v>
      </c>
      <c r="G181" s="6">
        <v>0.0</v>
      </c>
    </row>
    <row r="182">
      <c r="A182" s="6">
        <v>181.0</v>
      </c>
      <c r="B182" s="6" t="s">
        <v>50</v>
      </c>
      <c r="C182" s="6">
        <v>1.0</v>
      </c>
      <c r="D182" s="6">
        <v>0.0</v>
      </c>
      <c r="E182" s="6">
        <v>0.0</v>
      </c>
      <c r="F182" s="6">
        <v>87.52</v>
      </c>
      <c r="G182" s="6">
        <v>0.0</v>
      </c>
    </row>
    <row r="183">
      <c r="A183" s="6">
        <v>182.0</v>
      </c>
      <c r="B183" s="6" t="s">
        <v>50</v>
      </c>
      <c r="C183" s="6">
        <v>1.0</v>
      </c>
      <c r="D183" s="6">
        <v>0.0</v>
      </c>
      <c r="E183" s="6">
        <v>0.0</v>
      </c>
      <c r="F183" s="6">
        <v>138.28</v>
      </c>
      <c r="G183" s="6">
        <v>0.0</v>
      </c>
    </row>
    <row r="184">
      <c r="A184" s="6">
        <v>183.0</v>
      </c>
      <c r="B184" s="6" t="s">
        <v>51</v>
      </c>
      <c r="C184" s="6">
        <v>0.0</v>
      </c>
      <c r="D184" s="6">
        <v>0.0</v>
      </c>
      <c r="E184" s="6">
        <v>0.0</v>
      </c>
      <c r="F184" s="6">
        <v>96.19</v>
      </c>
      <c r="G184" s="6">
        <v>0.0</v>
      </c>
    </row>
    <row r="185">
      <c r="A185" s="6">
        <v>184.0</v>
      </c>
      <c r="B185" s="6" t="s">
        <v>51</v>
      </c>
      <c r="C185" s="6">
        <v>1.0</v>
      </c>
      <c r="D185" s="6">
        <v>0.0</v>
      </c>
      <c r="E185" s="6">
        <v>1.0</v>
      </c>
      <c r="F185" s="6">
        <v>104.35</v>
      </c>
      <c r="G185" s="6">
        <v>100.0</v>
      </c>
    </row>
    <row r="186">
      <c r="A186" s="6">
        <v>185.0</v>
      </c>
      <c r="B186" s="6" t="s">
        <v>50</v>
      </c>
      <c r="C186" s="6">
        <v>0.0</v>
      </c>
      <c r="D186" s="6">
        <v>0.0</v>
      </c>
      <c r="E186" s="6">
        <v>1.0</v>
      </c>
      <c r="F186" s="6">
        <v>117.4</v>
      </c>
      <c r="G186" s="6">
        <v>0.0</v>
      </c>
    </row>
    <row r="187">
      <c r="A187" s="6">
        <v>186.0</v>
      </c>
      <c r="B187" s="6" t="s">
        <v>51</v>
      </c>
      <c r="C187" s="6">
        <v>1.0</v>
      </c>
      <c r="D187" s="6">
        <v>1.0</v>
      </c>
      <c r="E187" s="6">
        <v>0.0</v>
      </c>
      <c r="F187" s="6">
        <v>109.91</v>
      </c>
      <c r="G187" s="6">
        <v>0.0</v>
      </c>
    </row>
    <row r="188">
      <c r="A188" s="6">
        <v>187.0</v>
      </c>
      <c r="B188" s="6" t="s">
        <v>51</v>
      </c>
      <c r="C188" s="6">
        <v>0.0</v>
      </c>
      <c r="D188" s="6">
        <v>0.0</v>
      </c>
      <c r="E188" s="6">
        <v>0.0</v>
      </c>
      <c r="F188" s="6">
        <v>103.01</v>
      </c>
      <c r="G188" s="6">
        <v>0.0</v>
      </c>
    </row>
    <row r="189">
      <c r="A189" s="6">
        <v>188.0</v>
      </c>
      <c r="B189" s="6" t="s">
        <v>51</v>
      </c>
      <c r="C189" s="6">
        <v>0.0</v>
      </c>
      <c r="D189" s="6">
        <v>0.0</v>
      </c>
      <c r="E189" s="6">
        <v>0.0</v>
      </c>
      <c r="F189" s="6">
        <v>107.3</v>
      </c>
      <c r="G189" s="6">
        <v>0.0</v>
      </c>
    </row>
    <row r="190">
      <c r="A190" s="6">
        <v>189.0</v>
      </c>
      <c r="B190" s="6" t="s">
        <v>51</v>
      </c>
      <c r="C190" s="6">
        <v>1.0</v>
      </c>
      <c r="D190" s="6">
        <v>0.0</v>
      </c>
      <c r="E190" s="6">
        <v>1.0</v>
      </c>
      <c r="F190" s="6">
        <v>148.07</v>
      </c>
      <c r="G190" s="6">
        <v>50.0</v>
      </c>
    </row>
    <row r="191">
      <c r="A191" s="6">
        <v>190.0</v>
      </c>
      <c r="B191" s="6" t="s">
        <v>50</v>
      </c>
      <c r="C191" s="6">
        <v>1.0</v>
      </c>
      <c r="D191" s="6">
        <v>1.0</v>
      </c>
      <c r="E191" s="6">
        <v>0.0</v>
      </c>
      <c r="F191" s="6">
        <v>98.85</v>
      </c>
      <c r="G191" s="6">
        <v>0.0</v>
      </c>
    </row>
    <row r="192">
      <c r="A192" s="6">
        <v>191.0</v>
      </c>
      <c r="B192" s="6" t="s">
        <v>50</v>
      </c>
      <c r="C192" s="6">
        <v>0.0</v>
      </c>
      <c r="D192" s="6">
        <v>0.0</v>
      </c>
      <c r="E192" s="6">
        <v>1.0</v>
      </c>
      <c r="F192" s="6">
        <v>104.02</v>
      </c>
      <c r="G192" s="6">
        <v>0.0</v>
      </c>
    </row>
    <row r="193">
      <c r="A193" s="6">
        <v>192.0</v>
      </c>
      <c r="B193" s="6" t="s">
        <v>51</v>
      </c>
      <c r="C193" s="6">
        <v>1.0</v>
      </c>
      <c r="D193" s="6">
        <v>0.0</v>
      </c>
      <c r="E193" s="6">
        <v>0.0</v>
      </c>
      <c r="F193" s="6">
        <v>121.01</v>
      </c>
      <c r="G193" s="6">
        <v>0.0</v>
      </c>
    </row>
    <row r="194">
      <c r="A194" s="6">
        <v>193.0</v>
      </c>
      <c r="B194" s="6" t="s">
        <v>51</v>
      </c>
      <c r="C194" s="6">
        <v>0.0</v>
      </c>
      <c r="D194" s="6">
        <v>0.0</v>
      </c>
      <c r="E194" s="6">
        <v>0.0</v>
      </c>
      <c r="F194" s="6">
        <v>122.11</v>
      </c>
      <c r="G194" s="6">
        <v>0.0</v>
      </c>
    </row>
    <row r="195">
      <c r="A195" s="6">
        <v>194.0</v>
      </c>
      <c r="B195" s="6" t="s">
        <v>51</v>
      </c>
      <c r="C195" s="6">
        <v>0.0</v>
      </c>
      <c r="D195" s="6">
        <v>0.0</v>
      </c>
      <c r="E195" s="6">
        <v>0.0</v>
      </c>
      <c r="F195" s="6">
        <v>123.74</v>
      </c>
      <c r="G195" s="6">
        <v>50.0</v>
      </c>
    </row>
    <row r="196">
      <c r="A196" s="6">
        <v>195.0</v>
      </c>
      <c r="B196" s="6" t="s">
        <v>50</v>
      </c>
      <c r="C196" s="6">
        <v>0.0</v>
      </c>
      <c r="D196" s="6">
        <v>0.0</v>
      </c>
      <c r="E196" s="6">
        <v>0.0</v>
      </c>
      <c r="F196" s="6">
        <v>112.77</v>
      </c>
      <c r="G196" s="6">
        <v>100.0</v>
      </c>
    </row>
    <row r="197">
      <c r="A197" s="6">
        <v>196.0</v>
      </c>
      <c r="B197" s="6" t="s">
        <v>50</v>
      </c>
      <c r="C197" s="6">
        <v>0.0</v>
      </c>
      <c r="D197" s="6">
        <v>1.0</v>
      </c>
      <c r="E197" s="6">
        <v>0.0</v>
      </c>
      <c r="F197" s="6">
        <v>77.14</v>
      </c>
      <c r="G197" s="6">
        <v>150.0</v>
      </c>
    </row>
    <row r="198">
      <c r="A198" s="6">
        <v>197.0</v>
      </c>
      <c r="B198" s="6" t="s">
        <v>51</v>
      </c>
      <c r="C198" s="6">
        <v>0.0</v>
      </c>
      <c r="D198" s="6">
        <v>1.0</v>
      </c>
      <c r="E198" s="6">
        <v>0.0</v>
      </c>
      <c r="F198" s="6">
        <v>132.67</v>
      </c>
      <c r="G198" s="6">
        <v>50.0</v>
      </c>
    </row>
    <row r="199">
      <c r="A199" s="6">
        <v>198.0</v>
      </c>
      <c r="B199" s="6" t="s">
        <v>51</v>
      </c>
      <c r="C199" s="6">
        <v>0.0</v>
      </c>
      <c r="D199" s="6">
        <v>0.0</v>
      </c>
      <c r="E199" s="6">
        <v>0.0</v>
      </c>
      <c r="F199" s="6">
        <v>77.07</v>
      </c>
      <c r="G199" s="6">
        <v>0.0</v>
      </c>
    </row>
    <row r="200">
      <c r="A200" s="6">
        <v>199.0</v>
      </c>
      <c r="B200" s="6" t="s">
        <v>51</v>
      </c>
      <c r="C200" s="6">
        <v>1.0</v>
      </c>
      <c r="D200" s="6">
        <v>0.0</v>
      </c>
      <c r="E200" s="6">
        <v>0.0</v>
      </c>
      <c r="F200" s="6">
        <v>106.05</v>
      </c>
      <c r="G200" s="6">
        <v>0.0</v>
      </c>
    </row>
    <row r="201">
      <c r="A201" s="6">
        <v>200.0</v>
      </c>
      <c r="B201" s="6" t="s">
        <v>51</v>
      </c>
      <c r="C201" s="6">
        <v>1.0</v>
      </c>
      <c r="D201" s="6">
        <v>1.0</v>
      </c>
      <c r="E201" s="6">
        <v>0.0</v>
      </c>
      <c r="F201" s="6">
        <v>84.91</v>
      </c>
      <c r="G201" s="6">
        <v>0.0</v>
      </c>
    </row>
    <row r="202">
      <c r="A202" s="6">
        <v>201.0</v>
      </c>
      <c r="B202" s="6" t="s">
        <v>51</v>
      </c>
      <c r="C202" s="6">
        <v>1.0</v>
      </c>
      <c r="D202" s="6">
        <v>1.0</v>
      </c>
      <c r="E202" s="6">
        <v>0.0</v>
      </c>
      <c r="F202" s="6">
        <v>98.72</v>
      </c>
      <c r="G202" s="6">
        <v>0.0</v>
      </c>
    </row>
    <row r="203">
      <c r="A203" s="6">
        <v>202.0</v>
      </c>
      <c r="B203" s="6" t="s">
        <v>50</v>
      </c>
      <c r="C203" s="6">
        <v>0.0</v>
      </c>
      <c r="D203" s="6">
        <v>0.0</v>
      </c>
      <c r="E203" s="6">
        <v>1.0</v>
      </c>
      <c r="F203" s="6">
        <v>106.58</v>
      </c>
      <c r="G203" s="6">
        <v>100.0</v>
      </c>
    </row>
    <row r="204">
      <c r="A204" s="6">
        <v>203.0</v>
      </c>
      <c r="B204" s="6" t="s">
        <v>50</v>
      </c>
      <c r="C204" s="6">
        <v>0.0</v>
      </c>
      <c r="D204" s="6">
        <v>0.0</v>
      </c>
      <c r="E204" s="6">
        <v>1.0</v>
      </c>
      <c r="F204" s="6">
        <v>106.43</v>
      </c>
      <c r="G204" s="6">
        <v>0.0</v>
      </c>
    </row>
    <row r="205">
      <c r="A205" s="6">
        <v>204.0</v>
      </c>
      <c r="B205" s="6" t="s">
        <v>51</v>
      </c>
      <c r="C205" s="6">
        <v>1.0</v>
      </c>
      <c r="D205" s="6">
        <v>0.0</v>
      </c>
      <c r="E205" s="6">
        <v>1.0</v>
      </c>
      <c r="F205" s="6">
        <v>108.44</v>
      </c>
      <c r="G205" s="6">
        <v>150.0</v>
      </c>
    </row>
    <row r="206">
      <c r="A206" s="6">
        <v>205.0</v>
      </c>
      <c r="B206" s="6" t="s">
        <v>51</v>
      </c>
      <c r="C206" s="6">
        <v>1.0</v>
      </c>
      <c r="D206" s="6">
        <v>0.0</v>
      </c>
      <c r="E206" s="6">
        <v>1.0</v>
      </c>
      <c r="F206" s="6">
        <v>132.27</v>
      </c>
      <c r="G206" s="6">
        <v>0.0</v>
      </c>
    </row>
    <row r="207">
      <c r="A207" s="6">
        <v>206.0</v>
      </c>
      <c r="B207" s="6" t="s">
        <v>50</v>
      </c>
      <c r="C207" s="6">
        <v>0.0</v>
      </c>
      <c r="D207" s="6">
        <v>1.0</v>
      </c>
      <c r="E207" s="6">
        <v>0.0</v>
      </c>
      <c r="F207" s="6">
        <v>109.07</v>
      </c>
      <c r="G207" s="6">
        <v>0.0</v>
      </c>
    </row>
    <row r="208">
      <c r="A208" s="6">
        <v>207.0</v>
      </c>
      <c r="B208" s="6" t="s">
        <v>50</v>
      </c>
      <c r="C208" s="6">
        <v>1.0</v>
      </c>
      <c r="D208" s="6">
        <v>1.0</v>
      </c>
      <c r="E208" s="6">
        <v>0.0</v>
      </c>
      <c r="F208" s="6">
        <v>95.12</v>
      </c>
      <c r="G208" s="6">
        <v>0.0</v>
      </c>
    </row>
    <row r="209">
      <c r="A209" s="6">
        <v>208.0</v>
      </c>
      <c r="B209" s="6" t="s">
        <v>51</v>
      </c>
      <c r="C209" s="6">
        <v>1.0</v>
      </c>
      <c r="D209" s="6">
        <v>1.0</v>
      </c>
      <c r="E209" s="6">
        <v>0.0</v>
      </c>
      <c r="F209" s="6">
        <v>119.28</v>
      </c>
      <c r="G209" s="6">
        <v>100.0</v>
      </c>
    </row>
    <row r="210">
      <c r="A210" s="6">
        <v>209.0</v>
      </c>
      <c r="B210" s="6" t="s">
        <v>50</v>
      </c>
      <c r="C210" s="6">
        <v>1.0</v>
      </c>
      <c r="D210" s="6">
        <v>0.0</v>
      </c>
      <c r="E210" s="6">
        <v>0.0</v>
      </c>
      <c r="F210" s="6">
        <v>123.79</v>
      </c>
      <c r="G210" s="6">
        <v>0.0</v>
      </c>
    </row>
    <row r="211">
      <c r="A211" s="6">
        <v>210.0</v>
      </c>
      <c r="B211" s="6" t="s">
        <v>50</v>
      </c>
      <c r="C211" s="6">
        <v>1.0</v>
      </c>
      <c r="D211" s="6">
        <v>0.0</v>
      </c>
      <c r="E211" s="6">
        <v>0.0</v>
      </c>
      <c r="F211" s="6">
        <v>75.45</v>
      </c>
      <c r="G211" s="6">
        <v>0.0</v>
      </c>
    </row>
    <row r="212">
      <c r="A212" s="6">
        <v>211.0</v>
      </c>
      <c r="B212" s="6" t="s">
        <v>51</v>
      </c>
      <c r="C212" s="6">
        <v>1.0</v>
      </c>
      <c r="D212" s="6">
        <v>1.0</v>
      </c>
      <c r="E212" s="6">
        <v>1.0</v>
      </c>
      <c r="F212" s="6">
        <v>111.95</v>
      </c>
      <c r="G212" s="6">
        <v>0.0</v>
      </c>
    </row>
    <row r="213">
      <c r="A213" s="6">
        <v>212.0</v>
      </c>
      <c r="B213" s="6" t="s">
        <v>51</v>
      </c>
      <c r="C213" s="6">
        <v>0.0</v>
      </c>
      <c r="D213" s="6">
        <v>1.0</v>
      </c>
      <c r="E213" s="6">
        <v>0.0</v>
      </c>
      <c r="F213" s="6">
        <v>114.02</v>
      </c>
      <c r="G213" s="6">
        <v>0.0</v>
      </c>
    </row>
    <row r="214">
      <c r="A214" s="6">
        <v>213.0</v>
      </c>
      <c r="B214" s="6" t="s">
        <v>51</v>
      </c>
      <c r="C214" s="6">
        <v>1.0</v>
      </c>
      <c r="D214" s="6">
        <v>0.0</v>
      </c>
      <c r="E214" s="6">
        <v>0.0</v>
      </c>
      <c r="F214" s="6">
        <v>94.05</v>
      </c>
      <c r="G214" s="6">
        <v>0.0</v>
      </c>
    </row>
    <row r="215">
      <c r="A215" s="6">
        <v>214.0</v>
      </c>
      <c r="B215" s="6" t="s">
        <v>50</v>
      </c>
      <c r="C215" s="6">
        <v>1.0</v>
      </c>
      <c r="D215" s="6">
        <v>1.0</v>
      </c>
      <c r="E215" s="6">
        <v>0.0</v>
      </c>
      <c r="F215" s="6">
        <v>127.51</v>
      </c>
      <c r="G215" s="6">
        <v>50.0</v>
      </c>
    </row>
    <row r="216">
      <c r="A216" s="6">
        <v>215.0</v>
      </c>
      <c r="B216" s="6" t="s">
        <v>51</v>
      </c>
      <c r="C216" s="6">
        <v>0.0</v>
      </c>
      <c r="D216" s="6">
        <v>1.0</v>
      </c>
      <c r="E216" s="6">
        <v>0.0</v>
      </c>
      <c r="F216" s="6">
        <v>97.0</v>
      </c>
      <c r="G216" s="6">
        <v>0.0</v>
      </c>
    </row>
    <row r="217">
      <c r="A217" s="6">
        <v>216.0</v>
      </c>
      <c r="B217" s="6" t="s">
        <v>50</v>
      </c>
      <c r="C217" s="6">
        <v>0.0</v>
      </c>
      <c r="D217" s="6">
        <v>0.0</v>
      </c>
      <c r="E217" s="6">
        <v>0.0</v>
      </c>
      <c r="F217" s="6">
        <v>102.51</v>
      </c>
      <c r="G217" s="6">
        <v>0.0</v>
      </c>
    </row>
    <row r="218">
      <c r="A218" s="6">
        <v>217.0</v>
      </c>
      <c r="B218" s="6" t="s">
        <v>50</v>
      </c>
      <c r="C218" s="6">
        <v>0.0</v>
      </c>
      <c r="D218" s="6">
        <v>0.0</v>
      </c>
      <c r="E218" s="6">
        <v>0.0</v>
      </c>
      <c r="F218" s="6">
        <v>96.54</v>
      </c>
      <c r="G218" s="6">
        <v>0.0</v>
      </c>
    </row>
    <row r="219">
      <c r="A219" s="6">
        <v>218.0</v>
      </c>
      <c r="B219" s="6" t="s">
        <v>51</v>
      </c>
      <c r="C219" s="6">
        <v>1.0</v>
      </c>
      <c r="D219" s="6">
        <v>0.0</v>
      </c>
      <c r="E219" s="6">
        <v>1.0</v>
      </c>
      <c r="F219" s="6">
        <v>100.31</v>
      </c>
      <c r="G219" s="6">
        <v>0.0</v>
      </c>
    </row>
    <row r="220">
      <c r="A220" s="6">
        <v>219.0</v>
      </c>
      <c r="B220" s="6" t="s">
        <v>51</v>
      </c>
      <c r="C220" s="6">
        <v>1.0</v>
      </c>
      <c r="D220" s="6">
        <v>0.0</v>
      </c>
      <c r="E220" s="6">
        <v>0.0</v>
      </c>
      <c r="F220" s="6">
        <v>78.07</v>
      </c>
      <c r="G220" s="6">
        <v>50.0</v>
      </c>
    </row>
    <row r="221">
      <c r="A221" s="6">
        <v>220.0</v>
      </c>
      <c r="B221" s="6" t="s">
        <v>51</v>
      </c>
      <c r="C221" s="6">
        <v>0.0</v>
      </c>
      <c r="D221" s="6">
        <v>0.0</v>
      </c>
      <c r="E221" s="6">
        <v>0.0</v>
      </c>
      <c r="F221" s="6">
        <v>71.2</v>
      </c>
      <c r="G221" s="6">
        <v>0.0</v>
      </c>
    </row>
    <row r="222">
      <c r="A222" s="6">
        <v>221.0</v>
      </c>
      <c r="B222" s="6" t="s">
        <v>51</v>
      </c>
      <c r="C222" s="6">
        <v>0.0</v>
      </c>
      <c r="D222" s="6">
        <v>1.0</v>
      </c>
      <c r="E222" s="6">
        <v>1.0</v>
      </c>
      <c r="F222" s="6">
        <v>131.89</v>
      </c>
      <c r="G222" s="6">
        <v>0.0</v>
      </c>
    </row>
    <row r="223">
      <c r="A223" s="6">
        <v>222.0</v>
      </c>
      <c r="B223" s="6" t="s">
        <v>51</v>
      </c>
      <c r="C223" s="6">
        <v>0.0</v>
      </c>
      <c r="D223" s="6">
        <v>0.0</v>
      </c>
      <c r="E223" s="6">
        <v>1.0</v>
      </c>
      <c r="F223" s="6">
        <v>83.06</v>
      </c>
      <c r="G223" s="6">
        <v>0.0</v>
      </c>
    </row>
    <row r="224">
      <c r="A224" s="6">
        <v>223.0</v>
      </c>
      <c r="B224" s="6" t="s">
        <v>50</v>
      </c>
      <c r="C224" s="6">
        <v>1.0</v>
      </c>
      <c r="D224" s="6">
        <v>0.0</v>
      </c>
      <c r="E224" s="6">
        <v>1.0</v>
      </c>
      <c r="F224" s="6">
        <v>80.17</v>
      </c>
      <c r="G224" s="6">
        <v>150.0</v>
      </c>
    </row>
    <row r="225">
      <c r="A225" s="6">
        <v>224.0</v>
      </c>
      <c r="B225" s="6" t="s">
        <v>50</v>
      </c>
      <c r="C225" s="6">
        <v>1.0</v>
      </c>
      <c r="D225" s="6">
        <v>0.0</v>
      </c>
      <c r="E225" s="6">
        <v>1.0</v>
      </c>
      <c r="F225" s="6">
        <v>56.93</v>
      </c>
      <c r="G225" s="6">
        <v>50.0</v>
      </c>
    </row>
    <row r="226">
      <c r="A226" s="6">
        <v>225.0</v>
      </c>
      <c r="B226" s="6" t="s">
        <v>50</v>
      </c>
      <c r="C226" s="6">
        <v>1.0</v>
      </c>
      <c r="D226" s="6">
        <v>0.0</v>
      </c>
      <c r="E226" s="6">
        <v>0.0</v>
      </c>
      <c r="F226" s="6">
        <v>87.22</v>
      </c>
      <c r="G226" s="6">
        <v>0.0</v>
      </c>
    </row>
    <row r="227">
      <c r="A227" s="6">
        <v>226.0</v>
      </c>
      <c r="B227" s="6" t="s">
        <v>50</v>
      </c>
      <c r="C227" s="6">
        <v>0.0</v>
      </c>
      <c r="D227" s="6">
        <v>1.0</v>
      </c>
      <c r="E227" s="6">
        <v>0.0</v>
      </c>
      <c r="F227" s="6">
        <v>73.54</v>
      </c>
      <c r="G227" s="6">
        <v>0.0</v>
      </c>
    </row>
    <row r="228">
      <c r="A228" s="6">
        <v>227.0</v>
      </c>
      <c r="B228" s="6" t="s">
        <v>51</v>
      </c>
      <c r="C228" s="6">
        <v>0.0</v>
      </c>
      <c r="D228" s="6">
        <v>0.0</v>
      </c>
      <c r="E228" s="6">
        <v>0.0</v>
      </c>
      <c r="F228" s="6">
        <v>132.84</v>
      </c>
      <c r="G228" s="6">
        <v>0.0</v>
      </c>
    </row>
    <row r="229">
      <c r="A229" s="6">
        <v>228.0</v>
      </c>
      <c r="B229" s="6" t="s">
        <v>50</v>
      </c>
      <c r="C229" s="6">
        <v>0.0</v>
      </c>
      <c r="D229" s="6">
        <v>0.0</v>
      </c>
      <c r="E229" s="6">
        <v>0.0</v>
      </c>
      <c r="F229" s="6">
        <v>120.2</v>
      </c>
      <c r="G229" s="6">
        <v>50.0</v>
      </c>
    </row>
    <row r="230">
      <c r="A230" s="6">
        <v>229.0</v>
      </c>
      <c r="B230" s="6" t="s">
        <v>51</v>
      </c>
      <c r="C230" s="6">
        <v>0.0</v>
      </c>
      <c r="D230" s="6">
        <v>1.0</v>
      </c>
      <c r="E230" s="6">
        <v>0.0</v>
      </c>
      <c r="F230" s="6">
        <v>86.24</v>
      </c>
      <c r="G230" s="6">
        <v>0.0</v>
      </c>
    </row>
    <row r="231">
      <c r="A231" s="6">
        <v>230.0</v>
      </c>
      <c r="B231" s="6" t="s">
        <v>51</v>
      </c>
      <c r="C231" s="6">
        <v>1.0</v>
      </c>
      <c r="D231" s="6">
        <v>0.0</v>
      </c>
      <c r="E231" s="6">
        <v>0.0</v>
      </c>
      <c r="F231" s="6">
        <v>145.05</v>
      </c>
      <c r="G231" s="6">
        <v>0.0</v>
      </c>
    </row>
    <row r="232">
      <c r="A232" s="6">
        <v>231.0</v>
      </c>
      <c r="B232" s="6" t="s">
        <v>51</v>
      </c>
      <c r="C232" s="6">
        <v>1.0</v>
      </c>
      <c r="D232" s="6">
        <v>0.0</v>
      </c>
      <c r="E232" s="6">
        <v>0.0</v>
      </c>
      <c r="F232" s="6">
        <v>119.64</v>
      </c>
      <c r="G232" s="6">
        <v>0.0</v>
      </c>
    </row>
    <row r="233">
      <c r="A233" s="6">
        <v>232.0</v>
      </c>
      <c r="B233" s="6" t="s">
        <v>51</v>
      </c>
      <c r="C233" s="6">
        <v>1.0</v>
      </c>
      <c r="D233" s="6">
        <v>0.0</v>
      </c>
      <c r="E233" s="6">
        <v>0.0</v>
      </c>
      <c r="F233" s="6">
        <v>93.5</v>
      </c>
      <c r="G233" s="6">
        <v>0.0</v>
      </c>
    </row>
    <row r="234">
      <c r="A234" s="6">
        <v>233.0</v>
      </c>
      <c r="B234" s="6" t="s">
        <v>51</v>
      </c>
      <c r="C234" s="6">
        <v>1.0</v>
      </c>
      <c r="D234" s="6">
        <v>0.0</v>
      </c>
      <c r="E234" s="6">
        <v>0.0</v>
      </c>
      <c r="F234" s="6">
        <v>50.01</v>
      </c>
      <c r="G234" s="6">
        <v>0.0</v>
      </c>
    </row>
    <row r="235">
      <c r="A235" s="6">
        <v>234.0</v>
      </c>
      <c r="B235" s="6" t="s">
        <v>50</v>
      </c>
      <c r="C235" s="6">
        <v>0.0</v>
      </c>
      <c r="D235" s="6">
        <v>0.0</v>
      </c>
      <c r="E235" s="6">
        <v>0.0</v>
      </c>
      <c r="F235" s="6">
        <v>145.82</v>
      </c>
      <c r="G235" s="6">
        <v>50.0</v>
      </c>
    </row>
    <row r="236">
      <c r="A236" s="6">
        <v>235.0</v>
      </c>
      <c r="B236" s="6" t="s">
        <v>50</v>
      </c>
      <c r="C236" s="6">
        <v>1.0</v>
      </c>
      <c r="D236" s="6">
        <v>0.0</v>
      </c>
      <c r="E236" s="6">
        <v>0.0</v>
      </c>
      <c r="F236" s="6">
        <v>72.21</v>
      </c>
      <c r="G236" s="6">
        <v>0.0</v>
      </c>
    </row>
    <row r="237">
      <c r="A237" s="6">
        <v>236.0</v>
      </c>
      <c r="B237" s="6" t="s">
        <v>51</v>
      </c>
      <c r="C237" s="6">
        <v>1.0</v>
      </c>
      <c r="D237" s="6">
        <v>0.0</v>
      </c>
      <c r="E237" s="6">
        <v>0.0</v>
      </c>
      <c r="F237" s="6">
        <v>67.09</v>
      </c>
      <c r="G237" s="6">
        <v>0.0</v>
      </c>
    </row>
    <row r="238">
      <c r="A238" s="6">
        <v>237.0</v>
      </c>
      <c r="B238" s="6" t="s">
        <v>50</v>
      </c>
      <c r="C238" s="6">
        <v>1.0</v>
      </c>
      <c r="D238" s="6">
        <v>1.0</v>
      </c>
      <c r="E238" s="6">
        <v>1.0</v>
      </c>
      <c r="F238" s="6">
        <v>120.45</v>
      </c>
      <c r="G238" s="6">
        <v>0.0</v>
      </c>
    </row>
    <row r="239">
      <c r="A239" s="6">
        <v>238.0</v>
      </c>
      <c r="B239" s="6" t="s">
        <v>50</v>
      </c>
      <c r="C239" s="6">
        <v>0.0</v>
      </c>
      <c r="D239" s="6">
        <v>0.0</v>
      </c>
      <c r="E239" s="6">
        <v>0.0</v>
      </c>
      <c r="F239" s="6">
        <v>148.8</v>
      </c>
      <c r="G239" s="6">
        <v>150.0</v>
      </c>
    </row>
    <row r="240">
      <c r="A240" s="6">
        <v>239.0</v>
      </c>
      <c r="B240" s="6" t="s">
        <v>51</v>
      </c>
      <c r="C240" s="6">
        <v>0.0</v>
      </c>
      <c r="D240" s="6">
        <v>0.0</v>
      </c>
      <c r="E240" s="6">
        <v>0.0</v>
      </c>
      <c r="F240" s="6">
        <v>127.69</v>
      </c>
      <c r="G240" s="6">
        <v>0.0</v>
      </c>
    </row>
    <row r="241">
      <c r="A241" s="6">
        <v>240.0</v>
      </c>
      <c r="B241" s="6" t="s">
        <v>50</v>
      </c>
      <c r="C241" s="6">
        <v>0.0</v>
      </c>
      <c r="D241" s="6">
        <v>0.0</v>
      </c>
      <c r="E241" s="6">
        <v>0.0</v>
      </c>
      <c r="F241" s="6">
        <v>111.28</v>
      </c>
      <c r="G241" s="6">
        <v>50.0</v>
      </c>
    </row>
    <row r="242">
      <c r="A242" s="6">
        <v>241.0</v>
      </c>
      <c r="B242" s="6" t="s">
        <v>51</v>
      </c>
      <c r="C242" s="6">
        <v>1.0</v>
      </c>
      <c r="D242" s="6">
        <v>0.0</v>
      </c>
      <c r="E242" s="6">
        <v>1.0</v>
      </c>
      <c r="F242" s="6">
        <v>111.9</v>
      </c>
      <c r="G242" s="6">
        <v>0.0</v>
      </c>
    </row>
    <row r="243">
      <c r="A243" s="6">
        <v>242.0</v>
      </c>
      <c r="B243" s="6" t="s">
        <v>51</v>
      </c>
      <c r="C243" s="6">
        <v>1.0</v>
      </c>
      <c r="D243" s="6">
        <v>0.0</v>
      </c>
      <c r="E243" s="6">
        <v>0.0</v>
      </c>
      <c r="F243" s="6">
        <v>117.07</v>
      </c>
      <c r="G243" s="6">
        <v>0.0</v>
      </c>
    </row>
    <row r="244">
      <c r="A244" s="6">
        <v>243.0</v>
      </c>
      <c r="B244" s="6" t="s">
        <v>51</v>
      </c>
      <c r="C244" s="6">
        <v>0.0</v>
      </c>
      <c r="D244" s="6">
        <v>0.0</v>
      </c>
      <c r="E244" s="6">
        <v>0.0</v>
      </c>
      <c r="F244" s="6">
        <v>115.18</v>
      </c>
      <c r="G244" s="6">
        <v>0.0</v>
      </c>
    </row>
    <row r="245">
      <c r="A245" s="6">
        <v>244.0</v>
      </c>
      <c r="B245" s="6" t="s">
        <v>50</v>
      </c>
      <c r="C245" s="6">
        <v>1.0</v>
      </c>
      <c r="D245" s="6">
        <v>1.0</v>
      </c>
      <c r="E245" s="6">
        <v>0.0</v>
      </c>
      <c r="F245" s="6">
        <v>105.62</v>
      </c>
      <c r="G245" s="6">
        <v>0.0</v>
      </c>
    </row>
    <row r="246">
      <c r="A246" s="6">
        <v>245.0</v>
      </c>
      <c r="B246" s="6" t="s">
        <v>50</v>
      </c>
      <c r="C246" s="6">
        <v>1.0</v>
      </c>
      <c r="D246" s="6">
        <v>0.0</v>
      </c>
      <c r="E246" s="6">
        <v>0.0</v>
      </c>
      <c r="F246" s="6">
        <v>102.08</v>
      </c>
      <c r="G246" s="6">
        <v>0.0</v>
      </c>
    </row>
    <row r="247">
      <c r="A247" s="6">
        <v>246.0</v>
      </c>
      <c r="B247" s="6" t="s">
        <v>51</v>
      </c>
      <c r="C247" s="6">
        <v>0.0</v>
      </c>
      <c r="D247" s="6">
        <v>0.0</v>
      </c>
      <c r="E247" s="6">
        <v>1.0</v>
      </c>
      <c r="F247" s="6">
        <v>98.75</v>
      </c>
      <c r="G247" s="6">
        <v>50.0</v>
      </c>
    </row>
    <row r="248">
      <c r="A248" s="6">
        <v>247.0</v>
      </c>
      <c r="B248" s="6" t="s">
        <v>50</v>
      </c>
      <c r="C248" s="6">
        <v>0.0</v>
      </c>
      <c r="D248" s="6">
        <v>0.0</v>
      </c>
      <c r="E248" s="6">
        <v>0.0</v>
      </c>
      <c r="F248" s="6">
        <v>84.92</v>
      </c>
      <c r="G248" s="6">
        <v>0.0</v>
      </c>
    </row>
    <row r="249">
      <c r="A249" s="6">
        <v>248.0</v>
      </c>
      <c r="B249" s="6" t="s">
        <v>51</v>
      </c>
      <c r="C249" s="6">
        <v>1.0</v>
      </c>
      <c r="D249" s="6">
        <v>1.0</v>
      </c>
      <c r="E249" s="6">
        <v>0.0</v>
      </c>
      <c r="F249" s="6">
        <v>94.39</v>
      </c>
      <c r="G249" s="6">
        <v>0.0</v>
      </c>
    </row>
    <row r="250">
      <c r="A250" s="6">
        <v>249.0</v>
      </c>
      <c r="B250" s="6" t="s">
        <v>51</v>
      </c>
      <c r="C250" s="6">
        <v>0.0</v>
      </c>
      <c r="D250" s="6">
        <v>0.0</v>
      </c>
      <c r="E250" s="6">
        <v>1.0</v>
      </c>
      <c r="F250" s="6">
        <v>66.14</v>
      </c>
      <c r="G250" s="6">
        <v>0.0</v>
      </c>
    </row>
    <row r="251">
      <c r="A251" s="6">
        <v>250.0</v>
      </c>
      <c r="B251" s="6" t="s">
        <v>51</v>
      </c>
      <c r="C251" s="6">
        <v>1.0</v>
      </c>
      <c r="D251" s="6">
        <v>0.0</v>
      </c>
      <c r="E251" s="6">
        <v>1.0</v>
      </c>
      <c r="F251" s="6">
        <v>98.03</v>
      </c>
      <c r="G251" s="6">
        <v>150.0</v>
      </c>
    </row>
    <row r="252">
      <c r="A252" s="6">
        <v>251.0</v>
      </c>
      <c r="B252" s="6" t="s">
        <v>50</v>
      </c>
      <c r="C252" s="6">
        <v>0.0</v>
      </c>
      <c r="D252" s="6">
        <v>0.0</v>
      </c>
      <c r="E252" s="6">
        <v>0.0</v>
      </c>
      <c r="F252" s="6">
        <v>80.23</v>
      </c>
      <c r="G252" s="6">
        <v>50.0</v>
      </c>
    </row>
    <row r="253">
      <c r="A253" s="6">
        <v>252.0</v>
      </c>
      <c r="B253" s="6" t="s">
        <v>50</v>
      </c>
      <c r="C253" s="6">
        <v>1.0</v>
      </c>
      <c r="D253" s="6">
        <v>1.0</v>
      </c>
      <c r="E253" s="6">
        <v>1.0</v>
      </c>
      <c r="F253" s="6">
        <v>77.93</v>
      </c>
      <c r="G253" s="6">
        <v>0.0</v>
      </c>
    </row>
    <row r="254">
      <c r="A254" s="6">
        <v>253.0</v>
      </c>
      <c r="B254" s="6" t="s">
        <v>51</v>
      </c>
      <c r="C254" s="6">
        <v>0.0</v>
      </c>
      <c r="D254" s="6">
        <v>0.0</v>
      </c>
      <c r="E254" s="6">
        <v>0.0</v>
      </c>
      <c r="F254" s="6">
        <v>103.6</v>
      </c>
      <c r="G254" s="6">
        <v>150.0</v>
      </c>
    </row>
    <row r="255">
      <c r="A255" s="6">
        <v>254.0</v>
      </c>
      <c r="B255" s="6" t="s">
        <v>50</v>
      </c>
      <c r="C255" s="6">
        <v>0.0</v>
      </c>
      <c r="D255" s="6">
        <v>1.0</v>
      </c>
      <c r="E255" s="6">
        <v>0.0</v>
      </c>
      <c r="F255" s="6">
        <v>127.84</v>
      </c>
      <c r="G255" s="6">
        <v>0.0</v>
      </c>
    </row>
    <row r="256">
      <c r="A256" s="6">
        <v>255.0</v>
      </c>
      <c r="B256" s="6" t="s">
        <v>50</v>
      </c>
      <c r="C256" s="6">
        <v>1.0</v>
      </c>
      <c r="D256" s="6">
        <v>0.0</v>
      </c>
      <c r="E256" s="6">
        <v>0.0</v>
      </c>
      <c r="F256" s="6">
        <v>118.37</v>
      </c>
      <c r="G256" s="6">
        <v>0.0</v>
      </c>
    </row>
    <row r="257">
      <c r="A257" s="6">
        <v>256.0</v>
      </c>
      <c r="B257" s="6" t="s">
        <v>51</v>
      </c>
      <c r="C257" s="6">
        <v>0.0</v>
      </c>
      <c r="D257" s="6">
        <v>0.0</v>
      </c>
      <c r="E257" s="6">
        <v>0.0</v>
      </c>
      <c r="F257" s="6">
        <v>68.59</v>
      </c>
      <c r="G257" s="6">
        <v>50.0</v>
      </c>
    </row>
    <row r="258">
      <c r="A258" s="6">
        <v>257.0</v>
      </c>
      <c r="B258" s="6" t="s">
        <v>51</v>
      </c>
      <c r="C258" s="6">
        <v>0.0</v>
      </c>
      <c r="D258" s="6">
        <v>0.0</v>
      </c>
      <c r="E258" s="6">
        <v>0.0</v>
      </c>
      <c r="F258" s="6">
        <v>80.21</v>
      </c>
      <c r="G258" s="6">
        <v>100.0</v>
      </c>
    </row>
    <row r="259">
      <c r="A259" s="6">
        <v>258.0</v>
      </c>
      <c r="B259" s="6" t="s">
        <v>51</v>
      </c>
      <c r="C259" s="6">
        <v>0.0</v>
      </c>
      <c r="D259" s="6">
        <v>0.0</v>
      </c>
      <c r="E259" s="6">
        <v>1.0</v>
      </c>
      <c r="F259" s="6">
        <v>118.82</v>
      </c>
      <c r="G259" s="6">
        <v>0.0</v>
      </c>
    </row>
    <row r="260">
      <c r="A260" s="6">
        <v>259.0</v>
      </c>
      <c r="B260" s="6" t="s">
        <v>51</v>
      </c>
      <c r="C260" s="6">
        <v>1.0</v>
      </c>
      <c r="D260" s="6">
        <v>0.0</v>
      </c>
      <c r="E260" s="6">
        <v>1.0</v>
      </c>
      <c r="F260" s="6">
        <v>80.35</v>
      </c>
      <c r="G260" s="6">
        <v>0.0</v>
      </c>
    </row>
    <row r="261">
      <c r="A261" s="6">
        <v>260.0</v>
      </c>
      <c r="B261" s="6" t="s">
        <v>50</v>
      </c>
      <c r="C261" s="6">
        <v>1.0</v>
      </c>
      <c r="D261" s="6">
        <v>0.0</v>
      </c>
      <c r="E261" s="6">
        <v>0.0</v>
      </c>
      <c r="F261" s="6">
        <v>95.51</v>
      </c>
      <c r="G261" s="6">
        <v>0.0</v>
      </c>
    </row>
    <row r="262">
      <c r="A262" s="6">
        <v>261.0</v>
      </c>
      <c r="B262" s="6" t="s">
        <v>51</v>
      </c>
      <c r="C262" s="6">
        <v>1.0</v>
      </c>
      <c r="D262" s="6">
        <v>1.0</v>
      </c>
      <c r="E262" s="6">
        <v>1.0</v>
      </c>
      <c r="F262" s="6">
        <v>111.0</v>
      </c>
      <c r="G262" s="6">
        <v>150.0</v>
      </c>
    </row>
    <row r="263">
      <c r="A263" s="6">
        <v>262.0</v>
      </c>
      <c r="B263" s="6" t="s">
        <v>51</v>
      </c>
      <c r="C263" s="6">
        <v>0.0</v>
      </c>
      <c r="D263" s="6">
        <v>0.0</v>
      </c>
      <c r="E263" s="6">
        <v>0.0</v>
      </c>
      <c r="F263" s="6">
        <v>80.63</v>
      </c>
      <c r="G263" s="6">
        <v>0.0</v>
      </c>
    </row>
    <row r="264">
      <c r="A264" s="6">
        <v>263.0</v>
      </c>
      <c r="B264" s="6" t="s">
        <v>50</v>
      </c>
      <c r="C264" s="6">
        <v>0.0</v>
      </c>
      <c r="D264" s="6">
        <v>0.0</v>
      </c>
      <c r="E264" s="6">
        <v>0.0</v>
      </c>
      <c r="F264" s="6">
        <v>102.11</v>
      </c>
      <c r="G264" s="6">
        <v>0.0</v>
      </c>
    </row>
    <row r="265">
      <c r="A265" s="6">
        <v>264.0</v>
      </c>
      <c r="B265" s="6" t="s">
        <v>51</v>
      </c>
      <c r="C265" s="6">
        <v>0.0</v>
      </c>
      <c r="D265" s="6">
        <v>0.0</v>
      </c>
      <c r="E265" s="6">
        <v>0.0</v>
      </c>
      <c r="F265" s="6">
        <v>73.32</v>
      </c>
      <c r="G265" s="6">
        <v>0.0</v>
      </c>
    </row>
    <row r="266">
      <c r="A266" s="6">
        <v>265.0</v>
      </c>
      <c r="B266" s="6" t="s">
        <v>51</v>
      </c>
      <c r="C266" s="6">
        <v>0.0</v>
      </c>
      <c r="D266" s="6">
        <v>0.0</v>
      </c>
      <c r="E266" s="6">
        <v>0.0</v>
      </c>
      <c r="F266" s="6">
        <v>87.97</v>
      </c>
      <c r="G266" s="6">
        <v>0.0</v>
      </c>
    </row>
    <row r="267">
      <c r="A267" s="6">
        <v>266.0</v>
      </c>
      <c r="B267" s="6" t="s">
        <v>51</v>
      </c>
      <c r="C267" s="6">
        <v>0.0</v>
      </c>
      <c r="D267" s="6">
        <v>0.0</v>
      </c>
      <c r="E267" s="6">
        <v>1.0</v>
      </c>
      <c r="F267" s="6">
        <v>106.4</v>
      </c>
      <c r="G267" s="6">
        <v>0.0</v>
      </c>
    </row>
    <row r="268">
      <c r="A268" s="6">
        <v>267.0</v>
      </c>
      <c r="B268" s="6" t="s">
        <v>51</v>
      </c>
      <c r="C268" s="6">
        <v>0.0</v>
      </c>
      <c r="D268" s="6">
        <v>0.0</v>
      </c>
      <c r="E268" s="6">
        <v>1.0</v>
      </c>
      <c r="F268" s="6">
        <v>68.14</v>
      </c>
      <c r="G268" s="6">
        <v>150.0</v>
      </c>
    </row>
    <row r="269">
      <c r="A269" s="6">
        <v>268.0</v>
      </c>
      <c r="B269" s="6" t="s">
        <v>51</v>
      </c>
      <c r="C269" s="6">
        <v>0.0</v>
      </c>
      <c r="D269" s="6">
        <v>0.0</v>
      </c>
      <c r="E269" s="6">
        <v>0.0</v>
      </c>
      <c r="F269" s="6">
        <v>108.81</v>
      </c>
      <c r="G269" s="6">
        <v>0.0</v>
      </c>
    </row>
    <row r="270">
      <c r="A270" s="6">
        <v>269.0</v>
      </c>
      <c r="B270" s="6" t="s">
        <v>50</v>
      </c>
      <c r="C270" s="6">
        <v>1.0</v>
      </c>
      <c r="D270" s="6">
        <v>1.0</v>
      </c>
      <c r="E270" s="6">
        <v>0.0</v>
      </c>
      <c r="F270" s="6">
        <v>99.61</v>
      </c>
      <c r="G270" s="6">
        <v>0.0</v>
      </c>
    </row>
    <row r="271">
      <c r="A271" s="6">
        <v>270.0</v>
      </c>
      <c r="B271" s="6" t="s">
        <v>50</v>
      </c>
      <c r="C271" s="6">
        <v>0.0</v>
      </c>
      <c r="D271" s="6">
        <v>1.0</v>
      </c>
      <c r="E271" s="6">
        <v>0.0</v>
      </c>
      <c r="F271" s="6">
        <v>111.05</v>
      </c>
      <c r="G271" s="6">
        <v>0.0</v>
      </c>
    </row>
    <row r="272">
      <c r="A272" s="6">
        <v>271.0</v>
      </c>
      <c r="B272" s="6" t="s">
        <v>51</v>
      </c>
      <c r="C272" s="6">
        <v>0.0</v>
      </c>
      <c r="D272" s="6">
        <v>0.0</v>
      </c>
      <c r="E272" s="6">
        <v>0.0</v>
      </c>
      <c r="F272" s="6">
        <v>104.48</v>
      </c>
      <c r="G272" s="6">
        <v>100.0</v>
      </c>
    </row>
    <row r="273">
      <c r="A273" s="6">
        <v>272.0</v>
      </c>
      <c r="B273" s="6" t="s">
        <v>51</v>
      </c>
      <c r="C273" s="6">
        <v>1.0</v>
      </c>
      <c r="D273" s="6">
        <v>0.0</v>
      </c>
      <c r="E273" s="6">
        <v>1.0</v>
      </c>
      <c r="F273" s="6">
        <v>127.28</v>
      </c>
      <c r="G273" s="6">
        <v>0.0</v>
      </c>
    </row>
    <row r="274">
      <c r="A274" s="6">
        <v>273.0</v>
      </c>
      <c r="B274" s="6" t="s">
        <v>51</v>
      </c>
      <c r="C274" s="6">
        <v>0.0</v>
      </c>
      <c r="D274" s="6">
        <v>0.0</v>
      </c>
      <c r="E274" s="6">
        <v>0.0</v>
      </c>
      <c r="F274" s="6">
        <v>102.5</v>
      </c>
      <c r="G274" s="6">
        <v>0.0</v>
      </c>
    </row>
    <row r="275">
      <c r="A275" s="6">
        <v>274.0</v>
      </c>
      <c r="B275" s="6" t="s">
        <v>51</v>
      </c>
      <c r="C275" s="6">
        <v>1.0</v>
      </c>
      <c r="D275" s="6">
        <v>0.0</v>
      </c>
      <c r="E275" s="6">
        <v>0.0</v>
      </c>
      <c r="F275" s="6">
        <v>91.41</v>
      </c>
      <c r="G275" s="6">
        <v>100.0</v>
      </c>
    </row>
    <row r="276">
      <c r="A276" s="6">
        <v>275.0</v>
      </c>
      <c r="B276" s="6" t="s">
        <v>51</v>
      </c>
      <c r="C276" s="6">
        <v>1.0</v>
      </c>
      <c r="D276" s="6">
        <v>0.0</v>
      </c>
      <c r="E276" s="6">
        <v>0.0</v>
      </c>
      <c r="F276" s="6">
        <v>102.45</v>
      </c>
      <c r="G276" s="6">
        <v>100.0</v>
      </c>
    </row>
    <row r="277">
      <c r="A277" s="6">
        <v>276.0</v>
      </c>
      <c r="B277" s="6" t="s">
        <v>51</v>
      </c>
      <c r="C277" s="6">
        <v>1.0</v>
      </c>
      <c r="D277" s="6">
        <v>0.0</v>
      </c>
      <c r="E277" s="6">
        <v>0.0</v>
      </c>
      <c r="F277" s="6">
        <v>110.87</v>
      </c>
      <c r="G277" s="6">
        <v>100.0</v>
      </c>
    </row>
    <row r="278">
      <c r="A278" s="6">
        <v>277.0</v>
      </c>
      <c r="B278" s="6" t="s">
        <v>51</v>
      </c>
      <c r="C278" s="6">
        <v>0.0</v>
      </c>
      <c r="D278" s="6">
        <v>1.0</v>
      </c>
      <c r="E278" s="6">
        <v>0.0</v>
      </c>
      <c r="F278" s="6">
        <v>100.98</v>
      </c>
      <c r="G278" s="6">
        <v>150.0</v>
      </c>
    </row>
    <row r="279">
      <c r="A279" s="6">
        <v>278.0</v>
      </c>
      <c r="B279" s="6" t="s">
        <v>51</v>
      </c>
      <c r="C279" s="6">
        <v>1.0</v>
      </c>
      <c r="D279" s="6">
        <v>0.0</v>
      </c>
      <c r="E279" s="6">
        <v>0.0</v>
      </c>
      <c r="F279" s="6">
        <v>100.81</v>
      </c>
      <c r="G279" s="6">
        <v>0.0</v>
      </c>
    </row>
    <row r="280">
      <c r="A280" s="6">
        <v>279.0</v>
      </c>
      <c r="B280" s="6" t="s">
        <v>51</v>
      </c>
      <c r="C280" s="6">
        <v>0.0</v>
      </c>
      <c r="D280" s="6">
        <v>0.0</v>
      </c>
      <c r="E280" s="6">
        <v>0.0</v>
      </c>
      <c r="F280" s="6">
        <v>85.96</v>
      </c>
      <c r="G280" s="6">
        <v>50.0</v>
      </c>
    </row>
    <row r="281">
      <c r="A281" s="6">
        <v>280.0</v>
      </c>
      <c r="B281" s="6" t="s">
        <v>51</v>
      </c>
      <c r="C281" s="6">
        <v>0.0</v>
      </c>
      <c r="D281" s="6">
        <v>0.0</v>
      </c>
      <c r="E281" s="6">
        <v>0.0</v>
      </c>
      <c r="F281" s="6">
        <v>86.74</v>
      </c>
      <c r="G281" s="6">
        <v>0.0</v>
      </c>
    </row>
    <row r="282">
      <c r="A282" s="6">
        <v>281.0</v>
      </c>
      <c r="B282" s="6" t="s">
        <v>51</v>
      </c>
      <c r="C282" s="6">
        <v>0.0</v>
      </c>
      <c r="D282" s="6">
        <v>0.0</v>
      </c>
      <c r="E282" s="6">
        <v>1.0</v>
      </c>
      <c r="F282" s="6">
        <v>71.95</v>
      </c>
      <c r="G282" s="6">
        <v>100.0</v>
      </c>
    </row>
    <row r="283">
      <c r="A283" s="6">
        <v>282.0</v>
      </c>
      <c r="B283" s="6" t="s">
        <v>50</v>
      </c>
      <c r="C283" s="6">
        <v>1.0</v>
      </c>
      <c r="D283" s="6">
        <v>0.0</v>
      </c>
      <c r="E283" s="6">
        <v>0.0</v>
      </c>
      <c r="F283" s="6">
        <v>134.99</v>
      </c>
      <c r="G283" s="6">
        <v>50.0</v>
      </c>
    </row>
    <row r="284">
      <c r="A284" s="6">
        <v>283.0</v>
      </c>
      <c r="B284" s="6" t="s">
        <v>50</v>
      </c>
      <c r="C284" s="6">
        <v>0.0</v>
      </c>
      <c r="D284" s="6">
        <v>0.0</v>
      </c>
      <c r="E284" s="6">
        <v>0.0</v>
      </c>
      <c r="F284" s="6">
        <v>75.12</v>
      </c>
      <c r="G284" s="6">
        <v>50.0</v>
      </c>
    </row>
    <row r="285">
      <c r="A285" s="6">
        <v>284.0</v>
      </c>
      <c r="B285" s="6" t="s">
        <v>50</v>
      </c>
      <c r="C285" s="6">
        <v>0.0</v>
      </c>
      <c r="D285" s="6">
        <v>0.0</v>
      </c>
      <c r="E285" s="6">
        <v>1.0</v>
      </c>
      <c r="F285" s="6">
        <v>86.14</v>
      </c>
      <c r="G285" s="6">
        <v>0.0</v>
      </c>
    </row>
    <row r="286">
      <c r="A286" s="6">
        <v>285.0</v>
      </c>
      <c r="B286" s="6" t="s">
        <v>51</v>
      </c>
      <c r="C286" s="6">
        <v>1.0</v>
      </c>
      <c r="D286" s="6">
        <v>1.0</v>
      </c>
      <c r="E286" s="6">
        <v>0.0</v>
      </c>
      <c r="F286" s="6">
        <v>85.63</v>
      </c>
      <c r="G286" s="6">
        <v>0.0</v>
      </c>
    </row>
    <row r="287">
      <c r="A287" s="6">
        <v>286.0</v>
      </c>
      <c r="B287" s="6" t="s">
        <v>50</v>
      </c>
      <c r="C287" s="6">
        <v>0.0</v>
      </c>
      <c r="D287" s="6">
        <v>0.0</v>
      </c>
      <c r="E287" s="6">
        <v>1.0</v>
      </c>
      <c r="F287" s="6">
        <v>117.9</v>
      </c>
      <c r="G287" s="6">
        <v>0.0</v>
      </c>
    </row>
    <row r="288">
      <c r="A288" s="6">
        <v>287.0</v>
      </c>
      <c r="B288" s="6" t="s">
        <v>50</v>
      </c>
      <c r="C288" s="6">
        <v>0.0</v>
      </c>
      <c r="D288" s="6">
        <v>0.0</v>
      </c>
      <c r="E288" s="6">
        <v>0.0</v>
      </c>
      <c r="F288" s="6">
        <v>94.1</v>
      </c>
      <c r="G288" s="6">
        <v>150.0</v>
      </c>
    </row>
    <row r="289">
      <c r="A289" s="6">
        <v>288.0</v>
      </c>
      <c r="B289" s="6" t="s">
        <v>51</v>
      </c>
      <c r="C289" s="6">
        <v>0.0</v>
      </c>
      <c r="D289" s="6">
        <v>0.0</v>
      </c>
      <c r="E289" s="6">
        <v>0.0</v>
      </c>
      <c r="F289" s="6">
        <v>124.95</v>
      </c>
      <c r="G289" s="6">
        <v>150.0</v>
      </c>
    </row>
    <row r="290">
      <c r="A290" s="6">
        <v>289.0</v>
      </c>
      <c r="B290" s="6" t="s">
        <v>50</v>
      </c>
      <c r="C290" s="6">
        <v>0.0</v>
      </c>
      <c r="D290" s="6">
        <v>0.0</v>
      </c>
      <c r="E290" s="6">
        <v>0.0</v>
      </c>
      <c r="F290" s="6">
        <v>86.53</v>
      </c>
      <c r="G290" s="6">
        <v>0.0</v>
      </c>
    </row>
    <row r="291">
      <c r="A291" s="6">
        <v>290.0</v>
      </c>
      <c r="B291" s="6" t="s">
        <v>51</v>
      </c>
      <c r="C291" s="6">
        <v>0.0</v>
      </c>
      <c r="D291" s="6">
        <v>0.0</v>
      </c>
      <c r="E291" s="6">
        <v>0.0</v>
      </c>
      <c r="F291" s="6">
        <v>105.58</v>
      </c>
      <c r="G291" s="6">
        <v>0.0</v>
      </c>
    </row>
    <row r="292">
      <c r="A292" s="6">
        <v>291.0</v>
      </c>
      <c r="B292" s="6" t="s">
        <v>50</v>
      </c>
      <c r="C292" s="6">
        <v>0.0</v>
      </c>
      <c r="D292" s="6">
        <v>1.0</v>
      </c>
      <c r="E292" s="6">
        <v>0.0</v>
      </c>
      <c r="F292" s="6">
        <v>83.29</v>
      </c>
      <c r="G292" s="6">
        <v>0.0</v>
      </c>
    </row>
    <row r="293">
      <c r="A293" s="6">
        <v>292.0</v>
      </c>
      <c r="B293" s="6" t="s">
        <v>50</v>
      </c>
      <c r="C293" s="6">
        <v>1.0</v>
      </c>
      <c r="D293" s="6">
        <v>1.0</v>
      </c>
      <c r="E293" s="6">
        <v>0.0</v>
      </c>
      <c r="F293" s="6">
        <v>142.9</v>
      </c>
      <c r="G293" s="6">
        <v>50.0</v>
      </c>
    </row>
    <row r="294">
      <c r="A294" s="6">
        <v>293.0</v>
      </c>
      <c r="B294" s="6" t="s">
        <v>51</v>
      </c>
      <c r="C294" s="6">
        <v>0.0</v>
      </c>
      <c r="D294" s="6">
        <v>1.0</v>
      </c>
      <c r="E294" s="6">
        <v>0.0</v>
      </c>
      <c r="F294" s="6">
        <v>76.25</v>
      </c>
      <c r="G294" s="6">
        <v>100.0</v>
      </c>
    </row>
    <row r="295">
      <c r="A295" s="6">
        <v>294.0</v>
      </c>
      <c r="B295" s="6" t="s">
        <v>50</v>
      </c>
      <c r="C295" s="6">
        <v>0.0</v>
      </c>
      <c r="D295" s="6">
        <v>0.0</v>
      </c>
      <c r="E295" s="6">
        <v>0.0</v>
      </c>
      <c r="F295" s="6">
        <v>106.2</v>
      </c>
      <c r="G295" s="6">
        <v>0.0</v>
      </c>
    </row>
    <row r="296">
      <c r="A296" s="6">
        <v>295.0</v>
      </c>
      <c r="B296" s="6" t="s">
        <v>50</v>
      </c>
      <c r="C296" s="6">
        <v>1.0</v>
      </c>
      <c r="D296" s="6">
        <v>0.0</v>
      </c>
      <c r="E296" s="6">
        <v>0.0</v>
      </c>
      <c r="F296" s="6">
        <v>112.68</v>
      </c>
      <c r="G296" s="6">
        <v>0.0</v>
      </c>
    </row>
    <row r="297">
      <c r="A297" s="6">
        <v>296.0</v>
      </c>
      <c r="B297" s="6" t="s">
        <v>51</v>
      </c>
      <c r="C297" s="6">
        <v>0.0</v>
      </c>
      <c r="D297" s="6">
        <v>0.0</v>
      </c>
      <c r="E297" s="6">
        <v>1.0</v>
      </c>
      <c r="F297" s="6">
        <v>108.28</v>
      </c>
      <c r="G297" s="6">
        <v>100.0</v>
      </c>
    </row>
    <row r="298">
      <c r="A298" s="6">
        <v>297.0</v>
      </c>
      <c r="B298" s="6" t="s">
        <v>51</v>
      </c>
      <c r="C298" s="6">
        <v>1.0</v>
      </c>
      <c r="D298" s="6">
        <v>0.0</v>
      </c>
      <c r="E298" s="6">
        <v>1.0</v>
      </c>
      <c r="F298" s="6">
        <v>96.29</v>
      </c>
      <c r="G298" s="6">
        <v>50.0</v>
      </c>
    </row>
    <row r="299">
      <c r="A299" s="6">
        <v>298.0</v>
      </c>
      <c r="B299" s="6" t="s">
        <v>50</v>
      </c>
      <c r="C299" s="6">
        <v>0.0</v>
      </c>
      <c r="D299" s="6">
        <v>1.0</v>
      </c>
      <c r="E299" s="6">
        <v>1.0</v>
      </c>
      <c r="F299" s="6">
        <v>97.4</v>
      </c>
      <c r="G299" s="6">
        <v>0.0</v>
      </c>
    </row>
    <row r="300">
      <c r="A300" s="6">
        <v>299.0</v>
      </c>
      <c r="B300" s="6" t="s">
        <v>51</v>
      </c>
      <c r="C300" s="6">
        <v>0.0</v>
      </c>
      <c r="D300" s="6">
        <v>0.0</v>
      </c>
      <c r="E300" s="6">
        <v>0.0</v>
      </c>
      <c r="F300" s="6">
        <v>100.88</v>
      </c>
      <c r="G300" s="6">
        <v>0.0</v>
      </c>
    </row>
    <row r="301">
      <c r="A301" s="6">
        <v>300.0</v>
      </c>
      <c r="B301" s="6" t="s">
        <v>50</v>
      </c>
      <c r="C301" s="6">
        <v>0.0</v>
      </c>
      <c r="D301" s="6">
        <v>0.0</v>
      </c>
      <c r="E301" s="6">
        <v>0.0</v>
      </c>
      <c r="F301" s="6">
        <v>97.06</v>
      </c>
      <c r="G301" s="6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63"/>
    <col customWidth="1" min="10" max="10" width="17.63"/>
    <col customWidth="1" min="13" max="13" width="15.63"/>
  </cols>
  <sheetData>
    <row r="1">
      <c r="A1" s="1" t="s">
        <v>0</v>
      </c>
      <c r="B1" s="1" t="s">
        <v>16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  <c r="J1" s="1" t="s">
        <v>16</v>
      </c>
      <c r="K1" s="1" t="s">
        <v>58</v>
      </c>
      <c r="L1" s="1" t="s">
        <v>31</v>
      </c>
      <c r="M1" s="1" t="s">
        <v>59</v>
      </c>
      <c r="N1" s="1" t="s">
        <v>53</v>
      </c>
      <c r="O1" s="1" t="s">
        <v>37</v>
      </c>
      <c r="P1" s="1" t="s">
        <v>38</v>
      </c>
      <c r="Q1" s="1" t="s">
        <v>55</v>
      </c>
      <c r="R1" s="1" t="s">
        <v>56</v>
      </c>
      <c r="S1" s="1" t="s">
        <v>57</v>
      </c>
      <c r="T1" s="1" t="s">
        <v>60</v>
      </c>
    </row>
    <row r="2">
      <c r="A2" s="6" t="s">
        <v>14</v>
      </c>
      <c r="B2" s="6">
        <v>30.0</v>
      </c>
      <c r="C2" s="6">
        <v>17490.0</v>
      </c>
      <c r="D2" s="6">
        <v>2006.0</v>
      </c>
      <c r="E2" s="6">
        <v>882.0</v>
      </c>
      <c r="F2" s="6">
        <v>1131.0</v>
      </c>
      <c r="G2" s="6">
        <v>18175.0</v>
      </c>
      <c r="H2" s="6">
        <v>9608.0</v>
      </c>
      <c r="J2" s="6">
        <v>10.0</v>
      </c>
      <c r="K2" s="15">
        <f t="shared" ref="K2:K6" si="2">SUMIF(B:B,J2,H:H)</f>
        <v>320378</v>
      </c>
      <c r="L2" s="15">
        <f t="shared" ref="L2:L6" si="3">SUMIF(B:B,J2,G:G)</f>
        <v>688479</v>
      </c>
      <c r="M2" s="15">
        <f t="shared" ref="M2:M6" si="4">SUMIF(B:B,J2,C:C)</f>
        <v>701334</v>
      </c>
      <c r="N2" s="15">
        <f t="shared" ref="N2:N6" si="5">SUMIF(B:B,J2,D:D)</f>
        <v>136990</v>
      </c>
      <c r="O2" s="15">
        <f t="shared" ref="O2:O6" si="6">SUMIF(B:B,J2,E:E)</f>
        <v>57567</v>
      </c>
      <c r="P2" s="15">
        <f t="shared" ref="P2:P6" si="7">SUMIF(B:B,J2,F:F)</f>
        <v>43577</v>
      </c>
      <c r="Q2" s="7">
        <f t="shared" ref="Q2:S2" si="1">N2/M2</f>
        <v>0.1953277611</v>
      </c>
      <c r="R2" s="7">
        <f t="shared" si="1"/>
        <v>0.4202277539</v>
      </c>
      <c r="S2" s="7">
        <f t="shared" si="1"/>
        <v>0.7569788247</v>
      </c>
      <c r="T2" s="7">
        <f t="shared" ref="T2:T6" si="9">(L2-K2)/K2</f>
        <v>1.148958418</v>
      </c>
    </row>
    <row r="3">
      <c r="A3" s="6" t="s">
        <v>15</v>
      </c>
      <c r="B3" s="6">
        <v>30.0</v>
      </c>
      <c r="C3" s="6">
        <v>16003.0</v>
      </c>
      <c r="D3" s="6">
        <v>3186.0</v>
      </c>
      <c r="E3" s="6">
        <v>362.0</v>
      </c>
      <c r="F3" s="6">
        <v>140.0</v>
      </c>
      <c r="G3" s="6">
        <v>16883.0</v>
      </c>
      <c r="H3" s="6">
        <v>3375.0</v>
      </c>
      <c r="J3" s="6">
        <v>15.0</v>
      </c>
      <c r="K3" s="15">
        <f t="shared" si="2"/>
        <v>355861</v>
      </c>
      <c r="L3" s="15">
        <f t="shared" si="3"/>
        <v>646805</v>
      </c>
      <c r="M3" s="15">
        <f t="shared" si="4"/>
        <v>850141</v>
      </c>
      <c r="N3" s="15">
        <f t="shared" si="5"/>
        <v>168596</v>
      </c>
      <c r="O3" s="15">
        <f t="shared" si="6"/>
        <v>73247</v>
      </c>
      <c r="P3" s="15">
        <f t="shared" si="7"/>
        <v>54111</v>
      </c>
      <c r="Q3" s="7">
        <f t="shared" ref="Q3:S3" si="8">N3/M3</f>
        <v>0.1983153383</v>
      </c>
      <c r="R3" s="7">
        <f t="shared" si="8"/>
        <v>0.4344527747</v>
      </c>
      <c r="S3" s="7">
        <f t="shared" si="8"/>
        <v>0.7387469794</v>
      </c>
      <c r="T3" s="7">
        <f t="shared" si="9"/>
        <v>0.8175776497</v>
      </c>
    </row>
    <row r="4">
      <c r="A4" s="6" t="s">
        <v>13</v>
      </c>
      <c r="B4" s="6">
        <v>10.0</v>
      </c>
      <c r="C4" s="6">
        <v>10348.0</v>
      </c>
      <c r="D4" s="6">
        <v>4680.0</v>
      </c>
      <c r="E4" s="6">
        <v>808.0</v>
      </c>
      <c r="F4" s="6">
        <v>814.0</v>
      </c>
      <c r="G4" s="6">
        <v>6390.0</v>
      </c>
      <c r="H4" s="6">
        <v>6092.0</v>
      </c>
      <c r="J4" s="6">
        <v>20.0</v>
      </c>
      <c r="K4" s="15">
        <f t="shared" si="2"/>
        <v>241975</v>
      </c>
      <c r="L4" s="15">
        <f t="shared" si="3"/>
        <v>441240</v>
      </c>
      <c r="M4" s="15">
        <f t="shared" si="4"/>
        <v>564403</v>
      </c>
      <c r="N4" s="15">
        <f t="shared" si="5"/>
        <v>117822</v>
      </c>
      <c r="O4" s="15">
        <f t="shared" si="6"/>
        <v>46139</v>
      </c>
      <c r="P4" s="15">
        <f t="shared" si="7"/>
        <v>39099</v>
      </c>
      <c r="Q4" s="7">
        <f t="shared" ref="Q4:S4" si="10">N4/M4</f>
        <v>0.2087550917</v>
      </c>
      <c r="R4" s="7">
        <f t="shared" si="10"/>
        <v>0.391599192</v>
      </c>
      <c r="S4" s="7">
        <f t="shared" si="10"/>
        <v>0.847417586</v>
      </c>
      <c r="T4" s="7">
        <f t="shared" si="9"/>
        <v>0.8234941626</v>
      </c>
    </row>
    <row r="5">
      <c r="A5" s="6" t="s">
        <v>15</v>
      </c>
      <c r="B5" s="6">
        <v>30.0</v>
      </c>
      <c r="C5" s="6">
        <v>18987.0</v>
      </c>
      <c r="D5" s="6">
        <v>2175.0</v>
      </c>
      <c r="E5" s="6">
        <v>1908.0</v>
      </c>
      <c r="F5" s="6">
        <v>1204.0</v>
      </c>
      <c r="G5" s="6">
        <v>19639.0</v>
      </c>
      <c r="H5" s="6">
        <v>1940.0</v>
      </c>
      <c r="J5" s="6">
        <v>25.0</v>
      </c>
      <c r="K5" s="15">
        <f t="shared" si="2"/>
        <v>330625</v>
      </c>
      <c r="L5" s="15">
        <f t="shared" si="3"/>
        <v>611036</v>
      </c>
      <c r="M5" s="15">
        <f t="shared" si="4"/>
        <v>788774</v>
      </c>
      <c r="N5" s="15">
        <f t="shared" si="5"/>
        <v>159354</v>
      </c>
      <c r="O5" s="15">
        <f t="shared" si="6"/>
        <v>57470</v>
      </c>
      <c r="P5" s="15">
        <f t="shared" si="7"/>
        <v>46590</v>
      </c>
      <c r="Q5" s="7">
        <f t="shared" ref="Q5:S5" si="11">N5/M5</f>
        <v>0.2020274502</v>
      </c>
      <c r="R5" s="7">
        <f t="shared" si="11"/>
        <v>0.3606435985</v>
      </c>
      <c r="S5" s="7">
        <f t="shared" si="11"/>
        <v>0.810683835</v>
      </c>
      <c r="T5" s="7">
        <f t="shared" si="9"/>
        <v>0.8481240076</v>
      </c>
    </row>
    <row r="6">
      <c r="A6" s="6" t="s">
        <v>15</v>
      </c>
      <c r="B6" s="6">
        <v>20.0</v>
      </c>
      <c r="C6" s="6">
        <v>14442.0</v>
      </c>
      <c r="D6" s="6">
        <v>813.0</v>
      </c>
      <c r="E6" s="6">
        <v>492.0</v>
      </c>
      <c r="F6" s="6">
        <v>945.0</v>
      </c>
      <c r="G6" s="6">
        <v>2607.0</v>
      </c>
      <c r="H6" s="6">
        <v>9427.0</v>
      </c>
      <c r="J6" s="6">
        <v>30.0</v>
      </c>
      <c r="K6" s="15">
        <f t="shared" si="2"/>
        <v>396065</v>
      </c>
      <c r="L6" s="15">
        <f t="shared" si="3"/>
        <v>683188</v>
      </c>
      <c r="M6" s="15">
        <f t="shared" si="4"/>
        <v>817904</v>
      </c>
      <c r="N6" s="15">
        <f t="shared" si="5"/>
        <v>181968</v>
      </c>
      <c r="O6" s="15">
        <f t="shared" si="6"/>
        <v>73442</v>
      </c>
      <c r="P6" s="15">
        <f t="shared" si="7"/>
        <v>54042</v>
      </c>
      <c r="Q6" s="7">
        <f t="shared" ref="Q6:S6" si="12">N6/M6</f>
        <v>0.222480878</v>
      </c>
      <c r="R6" s="7">
        <f t="shared" si="12"/>
        <v>0.4035984349</v>
      </c>
      <c r="S6" s="7">
        <f t="shared" si="12"/>
        <v>0.7358459737</v>
      </c>
      <c r="T6" s="7">
        <f t="shared" si="9"/>
        <v>0.7249390883</v>
      </c>
    </row>
    <row r="7">
      <c r="A7" s="6" t="s">
        <v>12</v>
      </c>
      <c r="B7" s="6">
        <v>25.0</v>
      </c>
      <c r="C7" s="6">
        <v>18970.0</v>
      </c>
      <c r="D7" s="6">
        <v>1162.0</v>
      </c>
      <c r="E7" s="6">
        <v>1840.0</v>
      </c>
      <c r="F7" s="6">
        <v>995.0</v>
      </c>
      <c r="G7" s="6">
        <v>7573.0</v>
      </c>
      <c r="H7" s="6">
        <v>6559.0</v>
      </c>
    </row>
    <row r="8">
      <c r="A8" s="6" t="s">
        <v>13</v>
      </c>
      <c r="B8" s="6">
        <v>10.0</v>
      </c>
      <c r="C8" s="6">
        <v>18843.0</v>
      </c>
      <c r="D8" s="6">
        <v>2076.0</v>
      </c>
      <c r="E8" s="6">
        <v>377.0</v>
      </c>
      <c r="F8" s="6">
        <v>192.0</v>
      </c>
      <c r="G8" s="6">
        <v>18368.0</v>
      </c>
      <c r="H8" s="6">
        <v>7510.0</v>
      </c>
    </row>
    <row r="9">
      <c r="A9" s="6" t="s">
        <v>13</v>
      </c>
      <c r="B9" s="6">
        <v>25.0</v>
      </c>
      <c r="C9" s="6">
        <v>16704.0</v>
      </c>
      <c r="D9" s="6">
        <v>1396.0</v>
      </c>
      <c r="E9" s="6">
        <v>1127.0</v>
      </c>
      <c r="F9" s="6">
        <v>992.0</v>
      </c>
      <c r="G9" s="6">
        <v>6776.0</v>
      </c>
      <c r="H9" s="6">
        <v>7617.0</v>
      </c>
    </row>
    <row r="10">
      <c r="A10" s="6" t="s">
        <v>13</v>
      </c>
      <c r="B10" s="6">
        <v>30.0</v>
      </c>
      <c r="C10" s="6">
        <v>11190.0</v>
      </c>
      <c r="D10" s="6">
        <v>225.0</v>
      </c>
      <c r="E10" s="6">
        <v>810.0</v>
      </c>
      <c r="F10" s="6">
        <v>373.0</v>
      </c>
      <c r="G10" s="6">
        <v>4676.0</v>
      </c>
      <c r="H10" s="6">
        <v>9653.0</v>
      </c>
    </row>
    <row r="11">
      <c r="A11" s="6" t="s">
        <v>15</v>
      </c>
      <c r="B11" s="6">
        <v>30.0</v>
      </c>
      <c r="C11" s="6">
        <v>6256.0</v>
      </c>
      <c r="D11" s="6">
        <v>4732.0</v>
      </c>
      <c r="E11" s="6">
        <v>1312.0</v>
      </c>
      <c r="F11" s="6">
        <v>48.0</v>
      </c>
      <c r="G11" s="6">
        <v>4380.0</v>
      </c>
      <c r="H11" s="6">
        <v>3489.0</v>
      </c>
    </row>
    <row r="12">
      <c r="A12" s="6" t="s">
        <v>14</v>
      </c>
      <c r="B12" s="6">
        <v>10.0</v>
      </c>
      <c r="C12" s="6">
        <v>8376.0</v>
      </c>
      <c r="D12" s="6">
        <v>3696.0</v>
      </c>
      <c r="E12" s="6">
        <v>1302.0</v>
      </c>
      <c r="F12" s="6">
        <v>506.0</v>
      </c>
      <c r="G12" s="6">
        <v>9711.0</v>
      </c>
      <c r="H12" s="6">
        <v>9718.0</v>
      </c>
    </row>
    <row r="13">
      <c r="A13" s="6" t="s">
        <v>13</v>
      </c>
      <c r="B13" s="6">
        <v>20.0</v>
      </c>
      <c r="C13" s="6">
        <v>10645.0</v>
      </c>
      <c r="D13" s="6">
        <v>3383.0</v>
      </c>
      <c r="E13" s="6">
        <v>628.0</v>
      </c>
      <c r="F13" s="6">
        <v>1382.0</v>
      </c>
      <c r="G13" s="6">
        <v>9782.0</v>
      </c>
      <c r="H13" s="6">
        <v>6728.0</v>
      </c>
    </row>
    <row r="14">
      <c r="A14" s="6" t="s">
        <v>15</v>
      </c>
      <c r="B14" s="6">
        <v>15.0</v>
      </c>
      <c r="C14" s="6">
        <v>18454.0</v>
      </c>
      <c r="D14" s="6">
        <v>1703.0</v>
      </c>
      <c r="E14" s="6">
        <v>1124.0</v>
      </c>
      <c r="F14" s="6">
        <v>991.0</v>
      </c>
      <c r="G14" s="6">
        <v>18434.0</v>
      </c>
      <c r="H14" s="6">
        <v>6971.0</v>
      </c>
    </row>
    <row r="15">
      <c r="A15" s="6" t="s">
        <v>12</v>
      </c>
      <c r="B15" s="6">
        <v>10.0</v>
      </c>
      <c r="C15" s="6">
        <v>8486.0</v>
      </c>
      <c r="D15" s="6">
        <v>166.0</v>
      </c>
      <c r="E15" s="6">
        <v>1682.0</v>
      </c>
      <c r="F15" s="6">
        <v>930.0</v>
      </c>
      <c r="G15" s="6">
        <v>14997.0</v>
      </c>
      <c r="H15" s="6">
        <v>3363.0</v>
      </c>
    </row>
    <row r="16">
      <c r="A16" s="6" t="s">
        <v>14</v>
      </c>
      <c r="B16" s="6">
        <v>15.0</v>
      </c>
      <c r="C16" s="6">
        <v>8584.0</v>
      </c>
      <c r="D16" s="6">
        <v>332.0</v>
      </c>
      <c r="E16" s="6">
        <v>1677.0</v>
      </c>
      <c r="F16" s="6">
        <v>1430.0</v>
      </c>
      <c r="G16" s="6">
        <v>7342.0</v>
      </c>
      <c r="H16" s="6">
        <v>1677.0</v>
      </c>
    </row>
    <row r="17">
      <c r="A17" s="6" t="s">
        <v>12</v>
      </c>
      <c r="B17" s="6">
        <v>15.0</v>
      </c>
      <c r="C17" s="6">
        <v>14588.0</v>
      </c>
      <c r="D17" s="6">
        <v>2256.0</v>
      </c>
      <c r="E17" s="6">
        <v>1056.0</v>
      </c>
      <c r="F17" s="6">
        <v>731.0</v>
      </c>
      <c r="G17" s="6">
        <v>18343.0</v>
      </c>
      <c r="H17" s="6">
        <v>5260.0</v>
      </c>
    </row>
    <row r="18">
      <c r="A18" s="6" t="s">
        <v>14</v>
      </c>
      <c r="B18" s="6">
        <v>20.0</v>
      </c>
      <c r="C18" s="6">
        <v>16829.0</v>
      </c>
      <c r="D18" s="6">
        <v>1269.0</v>
      </c>
      <c r="E18" s="6">
        <v>1337.0</v>
      </c>
      <c r="F18" s="6">
        <v>1194.0</v>
      </c>
      <c r="G18" s="6">
        <v>7059.0</v>
      </c>
      <c r="H18" s="6">
        <v>511.0</v>
      </c>
    </row>
    <row r="19">
      <c r="A19" s="6" t="s">
        <v>15</v>
      </c>
      <c r="B19" s="6">
        <v>15.0</v>
      </c>
      <c r="C19" s="6">
        <v>13053.0</v>
      </c>
      <c r="D19" s="6">
        <v>2258.0</v>
      </c>
      <c r="E19" s="6">
        <v>1491.0</v>
      </c>
      <c r="F19" s="6">
        <v>25.0</v>
      </c>
      <c r="G19" s="6">
        <v>9884.0</v>
      </c>
      <c r="H19" s="6">
        <v>5752.0</v>
      </c>
    </row>
    <row r="20">
      <c r="A20" s="6" t="s">
        <v>11</v>
      </c>
      <c r="B20" s="6">
        <v>15.0</v>
      </c>
      <c r="C20" s="6">
        <v>8330.0</v>
      </c>
      <c r="D20" s="6">
        <v>4306.0</v>
      </c>
      <c r="E20" s="6">
        <v>1876.0</v>
      </c>
      <c r="F20" s="6">
        <v>502.0</v>
      </c>
      <c r="G20" s="6">
        <v>6655.0</v>
      </c>
      <c r="H20" s="6">
        <v>4899.0</v>
      </c>
    </row>
    <row r="21">
      <c r="A21" s="6" t="s">
        <v>14</v>
      </c>
      <c r="B21" s="6">
        <v>20.0</v>
      </c>
      <c r="C21" s="6">
        <v>7703.0</v>
      </c>
      <c r="D21" s="6">
        <v>1593.0</v>
      </c>
      <c r="E21" s="6">
        <v>145.0</v>
      </c>
      <c r="F21" s="6">
        <v>1459.0</v>
      </c>
      <c r="G21" s="6">
        <v>13091.0</v>
      </c>
      <c r="H21" s="6">
        <v>8734.0</v>
      </c>
    </row>
    <row r="22">
      <c r="A22" s="6" t="s">
        <v>12</v>
      </c>
      <c r="B22" s="6">
        <v>15.0</v>
      </c>
      <c r="C22" s="6">
        <v>13662.0</v>
      </c>
      <c r="D22" s="6">
        <v>4818.0</v>
      </c>
      <c r="E22" s="6">
        <v>1161.0</v>
      </c>
      <c r="F22" s="6">
        <v>1141.0</v>
      </c>
      <c r="G22" s="6">
        <v>16251.0</v>
      </c>
      <c r="H22" s="6">
        <v>9635.0</v>
      </c>
    </row>
    <row r="23">
      <c r="A23" s="6" t="s">
        <v>15</v>
      </c>
      <c r="B23" s="6">
        <v>15.0</v>
      </c>
      <c r="C23" s="6">
        <v>13120.0</v>
      </c>
      <c r="D23" s="6">
        <v>4107.0</v>
      </c>
      <c r="E23" s="6">
        <v>1151.0</v>
      </c>
      <c r="F23" s="6">
        <v>903.0</v>
      </c>
      <c r="G23" s="6">
        <v>1526.0</v>
      </c>
      <c r="H23" s="6">
        <v>5945.0</v>
      </c>
    </row>
    <row r="24">
      <c r="A24" s="6" t="s">
        <v>14</v>
      </c>
      <c r="B24" s="6">
        <v>15.0</v>
      </c>
      <c r="C24" s="6">
        <v>12114.0</v>
      </c>
      <c r="D24" s="6">
        <v>2572.0</v>
      </c>
      <c r="E24" s="6">
        <v>1361.0</v>
      </c>
      <c r="F24" s="6">
        <v>1483.0</v>
      </c>
      <c r="G24" s="6">
        <v>4224.0</v>
      </c>
      <c r="H24" s="6">
        <v>7070.0</v>
      </c>
    </row>
    <row r="25">
      <c r="A25" s="6" t="s">
        <v>11</v>
      </c>
      <c r="B25" s="6">
        <v>10.0</v>
      </c>
      <c r="C25" s="6">
        <v>18323.0</v>
      </c>
      <c r="D25" s="6">
        <v>2760.0</v>
      </c>
      <c r="E25" s="6">
        <v>1193.0</v>
      </c>
      <c r="F25" s="6">
        <v>320.0</v>
      </c>
      <c r="G25" s="6">
        <v>16069.0</v>
      </c>
      <c r="H25" s="6">
        <v>9696.0</v>
      </c>
    </row>
    <row r="26">
      <c r="A26" s="6" t="s">
        <v>11</v>
      </c>
      <c r="B26" s="6">
        <v>10.0</v>
      </c>
      <c r="C26" s="6">
        <v>6353.0</v>
      </c>
      <c r="D26" s="6">
        <v>2839.0</v>
      </c>
      <c r="E26" s="6">
        <v>863.0</v>
      </c>
      <c r="F26" s="6">
        <v>748.0</v>
      </c>
      <c r="G26" s="6">
        <v>12536.0</v>
      </c>
      <c r="H26" s="6">
        <v>8712.0</v>
      </c>
    </row>
    <row r="27">
      <c r="A27" s="6" t="s">
        <v>13</v>
      </c>
      <c r="B27" s="6">
        <v>10.0</v>
      </c>
      <c r="C27" s="6">
        <v>15975.0</v>
      </c>
      <c r="D27" s="6">
        <v>1861.0</v>
      </c>
      <c r="E27" s="6">
        <v>540.0</v>
      </c>
      <c r="F27" s="6">
        <v>1203.0</v>
      </c>
      <c r="G27" s="6">
        <v>14547.0</v>
      </c>
      <c r="H27" s="6">
        <v>906.0</v>
      </c>
    </row>
    <row r="28">
      <c r="A28" s="6" t="s">
        <v>13</v>
      </c>
      <c r="B28" s="6">
        <v>20.0</v>
      </c>
      <c r="C28" s="6">
        <v>16023.0</v>
      </c>
      <c r="D28" s="6">
        <v>3614.0</v>
      </c>
      <c r="E28" s="6">
        <v>1985.0</v>
      </c>
      <c r="F28" s="6">
        <v>555.0</v>
      </c>
      <c r="G28" s="6">
        <v>19259.0</v>
      </c>
      <c r="H28" s="6">
        <v>9706.0</v>
      </c>
    </row>
    <row r="29">
      <c r="A29" s="6" t="s">
        <v>12</v>
      </c>
      <c r="B29" s="6">
        <v>30.0</v>
      </c>
      <c r="C29" s="6">
        <v>10063.0</v>
      </c>
      <c r="D29" s="6">
        <v>2075.0</v>
      </c>
      <c r="E29" s="6">
        <v>501.0</v>
      </c>
      <c r="F29" s="6">
        <v>423.0</v>
      </c>
      <c r="G29" s="6">
        <v>2763.0</v>
      </c>
      <c r="H29" s="6">
        <v>4931.0</v>
      </c>
    </row>
    <row r="30">
      <c r="A30" s="6" t="s">
        <v>14</v>
      </c>
      <c r="B30" s="6">
        <v>15.0</v>
      </c>
      <c r="C30" s="6">
        <v>13549.0</v>
      </c>
      <c r="D30" s="6">
        <v>2462.0</v>
      </c>
      <c r="E30" s="6">
        <v>1573.0</v>
      </c>
      <c r="F30" s="6">
        <v>260.0</v>
      </c>
      <c r="G30" s="6">
        <v>9712.0</v>
      </c>
      <c r="H30" s="6">
        <v>5743.0</v>
      </c>
    </row>
    <row r="31">
      <c r="A31" s="6" t="s">
        <v>14</v>
      </c>
      <c r="B31" s="6">
        <v>15.0</v>
      </c>
      <c r="C31" s="6">
        <v>16211.0</v>
      </c>
      <c r="D31" s="6">
        <v>976.0</v>
      </c>
      <c r="E31" s="6">
        <v>214.0</v>
      </c>
      <c r="F31" s="6">
        <v>768.0</v>
      </c>
      <c r="G31" s="6">
        <v>6797.0</v>
      </c>
      <c r="H31" s="6">
        <v>7042.0</v>
      </c>
    </row>
    <row r="32">
      <c r="A32" s="6" t="s">
        <v>13</v>
      </c>
      <c r="B32" s="6">
        <v>20.0</v>
      </c>
      <c r="C32" s="6">
        <v>12575.0</v>
      </c>
      <c r="D32" s="6">
        <v>3912.0</v>
      </c>
      <c r="E32" s="6">
        <v>231.0</v>
      </c>
      <c r="F32" s="6">
        <v>1174.0</v>
      </c>
      <c r="G32" s="6">
        <v>10208.0</v>
      </c>
      <c r="H32" s="6">
        <v>7436.0</v>
      </c>
    </row>
    <row r="33">
      <c r="A33" s="6" t="s">
        <v>14</v>
      </c>
      <c r="B33" s="6">
        <v>15.0</v>
      </c>
      <c r="C33" s="6">
        <v>5667.0</v>
      </c>
      <c r="D33" s="6">
        <v>3548.0</v>
      </c>
      <c r="E33" s="6">
        <v>518.0</v>
      </c>
      <c r="F33" s="6">
        <v>1307.0</v>
      </c>
      <c r="G33" s="6">
        <v>6109.0</v>
      </c>
      <c r="H33" s="6">
        <v>9406.0</v>
      </c>
    </row>
    <row r="34">
      <c r="A34" s="6" t="s">
        <v>14</v>
      </c>
      <c r="B34" s="6">
        <v>10.0</v>
      </c>
      <c r="C34" s="6">
        <v>9468.0</v>
      </c>
      <c r="D34" s="6">
        <v>1412.0</v>
      </c>
      <c r="E34" s="6">
        <v>959.0</v>
      </c>
      <c r="F34" s="6">
        <v>1449.0</v>
      </c>
      <c r="G34" s="6">
        <v>17500.0</v>
      </c>
      <c r="H34" s="6">
        <v>4646.0</v>
      </c>
    </row>
    <row r="35">
      <c r="A35" s="6" t="s">
        <v>11</v>
      </c>
      <c r="B35" s="6">
        <v>30.0</v>
      </c>
      <c r="C35" s="6">
        <v>18319.0</v>
      </c>
      <c r="D35" s="6">
        <v>1560.0</v>
      </c>
      <c r="E35" s="6">
        <v>784.0</v>
      </c>
      <c r="F35" s="6">
        <v>1072.0</v>
      </c>
      <c r="G35" s="6">
        <v>3433.0</v>
      </c>
      <c r="H35" s="6">
        <v>640.0</v>
      </c>
    </row>
    <row r="36">
      <c r="A36" s="6" t="s">
        <v>13</v>
      </c>
      <c r="B36" s="6">
        <v>25.0</v>
      </c>
      <c r="C36" s="6">
        <v>14337.0</v>
      </c>
      <c r="D36" s="6">
        <v>2809.0</v>
      </c>
      <c r="E36" s="6">
        <v>872.0</v>
      </c>
      <c r="F36" s="6">
        <v>823.0</v>
      </c>
      <c r="G36" s="6">
        <v>17967.0</v>
      </c>
      <c r="H36" s="6">
        <v>5382.0</v>
      </c>
    </row>
    <row r="37">
      <c r="A37" s="6" t="s">
        <v>15</v>
      </c>
      <c r="B37" s="6">
        <v>15.0</v>
      </c>
      <c r="C37" s="6">
        <v>18659.0</v>
      </c>
      <c r="D37" s="6">
        <v>2424.0</v>
      </c>
      <c r="E37" s="6">
        <v>993.0</v>
      </c>
      <c r="F37" s="6">
        <v>38.0</v>
      </c>
      <c r="G37" s="6">
        <v>5167.0</v>
      </c>
      <c r="H37" s="6">
        <v>6512.0</v>
      </c>
    </row>
    <row r="38">
      <c r="A38" s="6" t="s">
        <v>13</v>
      </c>
      <c r="B38" s="6">
        <v>10.0</v>
      </c>
      <c r="C38" s="6">
        <v>11819.0</v>
      </c>
      <c r="D38" s="6">
        <v>1833.0</v>
      </c>
      <c r="E38" s="6">
        <v>56.0</v>
      </c>
      <c r="F38" s="6">
        <v>967.0</v>
      </c>
      <c r="G38" s="6">
        <v>18773.0</v>
      </c>
      <c r="H38" s="6">
        <v>1463.0</v>
      </c>
    </row>
    <row r="39">
      <c r="A39" s="6" t="s">
        <v>15</v>
      </c>
      <c r="B39" s="6">
        <v>25.0</v>
      </c>
      <c r="C39" s="6">
        <v>17377.0</v>
      </c>
      <c r="D39" s="6">
        <v>1705.0</v>
      </c>
      <c r="E39" s="6">
        <v>379.0</v>
      </c>
      <c r="F39" s="6">
        <v>486.0</v>
      </c>
      <c r="G39" s="6">
        <v>9357.0</v>
      </c>
      <c r="H39" s="6">
        <v>7651.0</v>
      </c>
    </row>
    <row r="40">
      <c r="A40" s="6" t="s">
        <v>11</v>
      </c>
      <c r="B40" s="6">
        <v>30.0</v>
      </c>
      <c r="C40" s="6">
        <v>8719.0</v>
      </c>
      <c r="D40" s="6">
        <v>2663.0</v>
      </c>
      <c r="E40" s="6">
        <v>824.0</v>
      </c>
      <c r="F40" s="6">
        <v>327.0</v>
      </c>
      <c r="G40" s="6">
        <v>7154.0</v>
      </c>
      <c r="H40" s="6">
        <v>9064.0</v>
      </c>
    </row>
    <row r="41">
      <c r="A41" s="6" t="s">
        <v>12</v>
      </c>
      <c r="B41" s="6">
        <v>25.0</v>
      </c>
      <c r="C41" s="6">
        <v>7745.0</v>
      </c>
      <c r="D41" s="6">
        <v>3521.0</v>
      </c>
      <c r="E41" s="6">
        <v>1746.0</v>
      </c>
      <c r="F41" s="6">
        <v>254.0</v>
      </c>
      <c r="G41" s="6">
        <v>9920.0</v>
      </c>
      <c r="H41" s="6">
        <v>4110.0</v>
      </c>
    </row>
    <row r="42">
      <c r="A42" s="6" t="s">
        <v>14</v>
      </c>
      <c r="B42" s="6">
        <v>10.0</v>
      </c>
      <c r="C42" s="6">
        <v>12483.0</v>
      </c>
      <c r="D42" s="6">
        <v>3617.0</v>
      </c>
      <c r="E42" s="6">
        <v>200.0</v>
      </c>
      <c r="F42" s="6">
        <v>757.0</v>
      </c>
      <c r="G42" s="6">
        <v>19427.0</v>
      </c>
      <c r="H42" s="6">
        <v>7394.0</v>
      </c>
    </row>
    <row r="43">
      <c r="A43" s="6" t="s">
        <v>11</v>
      </c>
      <c r="B43" s="6">
        <v>25.0</v>
      </c>
      <c r="C43" s="6">
        <v>5539.0</v>
      </c>
      <c r="D43" s="6">
        <v>2497.0</v>
      </c>
      <c r="E43" s="6">
        <v>1158.0</v>
      </c>
      <c r="F43" s="6">
        <v>706.0</v>
      </c>
      <c r="G43" s="6">
        <v>18162.0</v>
      </c>
      <c r="H43" s="6">
        <v>7811.0</v>
      </c>
    </row>
    <row r="44">
      <c r="A44" s="6" t="s">
        <v>14</v>
      </c>
      <c r="B44" s="6">
        <v>20.0</v>
      </c>
      <c r="C44" s="6">
        <v>15971.0</v>
      </c>
      <c r="D44" s="6">
        <v>3835.0</v>
      </c>
      <c r="E44" s="6">
        <v>196.0</v>
      </c>
      <c r="F44" s="6">
        <v>281.0</v>
      </c>
      <c r="G44" s="6">
        <v>1213.0</v>
      </c>
      <c r="H44" s="6">
        <v>605.0</v>
      </c>
    </row>
    <row r="45">
      <c r="A45" s="6" t="s">
        <v>12</v>
      </c>
      <c r="B45" s="6">
        <v>25.0</v>
      </c>
      <c r="C45" s="6">
        <v>9964.0</v>
      </c>
      <c r="D45" s="6">
        <v>2970.0</v>
      </c>
      <c r="E45" s="6">
        <v>1697.0</v>
      </c>
      <c r="F45" s="6">
        <v>1473.0</v>
      </c>
      <c r="G45" s="6">
        <v>4762.0</v>
      </c>
      <c r="H45" s="6">
        <v>6039.0</v>
      </c>
    </row>
    <row r="46">
      <c r="A46" s="6" t="s">
        <v>12</v>
      </c>
      <c r="B46" s="6">
        <v>15.0</v>
      </c>
      <c r="C46" s="6">
        <v>17328.0</v>
      </c>
      <c r="D46" s="6">
        <v>1260.0</v>
      </c>
      <c r="E46" s="6">
        <v>1454.0</v>
      </c>
      <c r="F46" s="6">
        <v>1272.0</v>
      </c>
      <c r="G46" s="6">
        <v>14399.0</v>
      </c>
      <c r="H46" s="6">
        <v>7287.0</v>
      </c>
    </row>
    <row r="47">
      <c r="A47" s="6" t="s">
        <v>11</v>
      </c>
      <c r="B47" s="6">
        <v>15.0</v>
      </c>
      <c r="C47" s="6">
        <v>9835.0</v>
      </c>
      <c r="D47" s="6">
        <v>4954.0</v>
      </c>
      <c r="E47" s="6">
        <v>964.0</v>
      </c>
      <c r="F47" s="6">
        <v>386.0</v>
      </c>
      <c r="G47" s="6">
        <v>10768.0</v>
      </c>
      <c r="H47" s="6">
        <v>2637.0</v>
      </c>
    </row>
    <row r="48">
      <c r="A48" s="6" t="s">
        <v>12</v>
      </c>
      <c r="B48" s="6">
        <v>20.0</v>
      </c>
      <c r="C48" s="6">
        <v>8775.0</v>
      </c>
      <c r="D48" s="6">
        <v>342.0</v>
      </c>
      <c r="E48" s="6">
        <v>1621.0</v>
      </c>
      <c r="F48" s="6">
        <v>275.0</v>
      </c>
      <c r="G48" s="6">
        <v>11640.0</v>
      </c>
      <c r="H48" s="6">
        <v>4945.0</v>
      </c>
    </row>
    <row r="49">
      <c r="A49" s="6" t="s">
        <v>15</v>
      </c>
      <c r="B49" s="6">
        <v>10.0</v>
      </c>
      <c r="C49" s="6">
        <v>11042.0</v>
      </c>
      <c r="D49" s="6">
        <v>2690.0</v>
      </c>
      <c r="E49" s="6">
        <v>1358.0</v>
      </c>
      <c r="F49" s="6">
        <v>935.0</v>
      </c>
      <c r="G49" s="6">
        <v>7731.0</v>
      </c>
      <c r="H49" s="6">
        <v>4030.0</v>
      </c>
    </row>
    <row r="50">
      <c r="A50" s="6" t="s">
        <v>12</v>
      </c>
      <c r="B50" s="6">
        <v>15.0</v>
      </c>
      <c r="C50" s="6">
        <v>19837.0</v>
      </c>
      <c r="D50" s="6">
        <v>1163.0</v>
      </c>
      <c r="E50" s="6">
        <v>749.0</v>
      </c>
      <c r="F50" s="6">
        <v>930.0</v>
      </c>
      <c r="G50" s="6">
        <v>6791.0</v>
      </c>
      <c r="H50" s="6">
        <v>1786.0</v>
      </c>
    </row>
    <row r="51">
      <c r="A51" s="6" t="s">
        <v>14</v>
      </c>
      <c r="B51" s="6">
        <v>30.0</v>
      </c>
      <c r="C51" s="6">
        <v>12102.0</v>
      </c>
      <c r="D51" s="6">
        <v>4424.0</v>
      </c>
      <c r="E51" s="6">
        <v>131.0</v>
      </c>
      <c r="F51" s="6">
        <v>1392.0</v>
      </c>
      <c r="G51" s="6">
        <v>16822.0</v>
      </c>
      <c r="H51" s="6">
        <v>7552.0</v>
      </c>
    </row>
    <row r="52">
      <c r="A52" s="6" t="s">
        <v>14</v>
      </c>
      <c r="B52" s="6">
        <v>15.0</v>
      </c>
      <c r="C52" s="6">
        <v>12312.0</v>
      </c>
      <c r="D52" s="6">
        <v>2695.0</v>
      </c>
      <c r="E52" s="6">
        <v>563.0</v>
      </c>
      <c r="F52" s="6">
        <v>349.0</v>
      </c>
      <c r="G52" s="6">
        <v>9783.0</v>
      </c>
      <c r="H52" s="6">
        <v>4154.0</v>
      </c>
    </row>
    <row r="53">
      <c r="A53" s="6" t="s">
        <v>14</v>
      </c>
      <c r="B53" s="6">
        <v>15.0</v>
      </c>
      <c r="C53" s="6">
        <v>10320.0</v>
      </c>
      <c r="D53" s="6">
        <v>1019.0</v>
      </c>
      <c r="E53" s="6">
        <v>1970.0</v>
      </c>
      <c r="F53" s="6">
        <v>398.0</v>
      </c>
      <c r="G53" s="6">
        <v>14621.0</v>
      </c>
      <c r="H53" s="6">
        <v>7602.0</v>
      </c>
    </row>
    <row r="54">
      <c r="A54" s="6" t="s">
        <v>14</v>
      </c>
      <c r="B54" s="6">
        <v>10.0</v>
      </c>
      <c r="C54" s="6">
        <v>18216.0</v>
      </c>
      <c r="D54" s="6">
        <v>105.0</v>
      </c>
      <c r="E54" s="6">
        <v>864.0</v>
      </c>
      <c r="F54" s="6">
        <v>586.0</v>
      </c>
      <c r="G54" s="6">
        <v>17019.0</v>
      </c>
      <c r="H54" s="6">
        <v>2859.0</v>
      </c>
    </row>
    <row r="55">
      <c r="A55" s="6" t="s">
        <v>15</v>
      </c>
      <c r="B55" s="6">
        <v>25.0</v>
      </c>
      <c r="C55" s="6">
        <v>11132.0</v>
      </c>
      <c r="D55" s="6">
        <v>567.0</v>
      </c>
      <c r="E55" s="6">
        <v>758.0</v>
      </c>
      <c r="F55" s="6">
        <v>12.0</v>
      </c>
      <c r="G55" s="6">
        <v>3720.0</v>
      </c>
      <c r="H55" s="6">
        <v>8605.0</v>
      </c>
    </row>
    <row r="56">
      <c r="A56" s="6" t="s">
        <v>13</v>
      </c>
      <c r="B56" s="6">
        <v>15.0</v>
      </c>
      <c r="C56" s="6">
        <v>12891.0</v>
      </c>
      <c r="D56" s="6">
        <v>4270.0</v>
      </c>
      <c r="E56" s="6">
        <v>1989.0</v>
      </c>
      <c r="F56" s="6">
        <v>1462.0</v>
      </c>
      <c r="G56" s="6">
        <v>9905.0</v>
      </c>
      <c r="H56" s="6">
        <v>9136.0</v>
      </c>
    </row>
    <row r="57">
      <c r="A57" s="6" t="s">
        <v>11</v>
      </c>
      <c r="B57" s="6">
        <v>20.0</v>
      </c>
      <c r="C57" s="6">
        <v>15700.0</v>
      </c>
      <c r="D57" s="6">
        <v>103.0</v>
      </c>
      <c r="E57" s="6">
        <v>1596.0</v>
      </c>
      <c r="F57" s="6">
        <v>1175.0</v>
      </c>
      <c r="G57" s="6">
        <v>10127.0</v>
      </c>
      <c r="H57" s="6">
        <v>6941.0</v>
      </c>
    </row>
    <row r="58">
      <c r="A58" s="6" t="s">
        <v>14</v>
      </c>
      <c r="B58" s="6">
        <v>25.0</v>
      </c>
      <c r="C58" s="6">
        <v>7779.0</v>
      </c>
      <c r="D58" s="6">
        <v>745.0</v>
      </c>
      <c r="E58" s="6">
        <v>795.0</v>
      </c>
      <c r="F58" s="6">
        <v>385.0</v>
      </c>
      <c r="G58" s="6">
        <v>17385.0</v>
      </c>
      <c r="H58" s="6">
        <v>5547.0</v>
      </c>
    </row>
    <row r="59">
      <c r="A59" s="6" t="s">
        <v>12</v>
      </c>
      <c r="B59" s="6">
        <v>30.0</v>
      </c>
      <c r="C59" s="6">
        <v>5924.0</v>
      </c>
      <c r="D59" s="6">
        <v>217.0</v>
      </c>
      <c r="E59" s="6">
        <v>1072.0</v>
      </c>
      <c r="F59" s="6">
        <v>333.0</v>
      </c>
      <c r="G59" s="6">
        <v>7368.0</v>
      </c>
      <c r="H59" s="6">
        <v>8727.0</v>
      </c>
    </row>
    <row r="60">
      <c r="A60" s="6" t="s">
        <v>14</v>
      </c>
      <c r="B60" s="6">
        <v>10.0</v>
      </c>
      <c r="C60" s="6">
        <v>16148.0</v>
      </c>
      <c r="D60" s="6">
        <v>3028.0</v>
      </c>
      <c r="E60" s="6">
        <v>1459.0</v>
      </c>
      <c r="F60" s="6">
        <v>155.0</v>
      </c>
      <c r="G60" s="6">
        <v>15056.0</v>
      </c>
      <c r="H60" s="6">
        <v>5703.0</v>
      </c>
    </row>
    <row r="61">
      <c r="A61" s="6" t="s">
        <v>12</v>
      </c>
      <c r="B61" s="6">
        <v>30.0</v>
      </c>
      <c r="C61" s="6">
        <v>6581.0</v>
      </c>
      <c r="D61" s="6">
        <v>2651.0</v>
      </c>
      <c r="E61" s="6">
        <v>756.0</v>
      </c>
      <c r="F61" s="6">
        <v>302.0</v>
      </c>
      <c r="G61" s="6">
        <v>13236.0</v>
      </c>
      <c r="H61" s="6">
        <v>2298.0</v>
      </c>
    </row>
    <row r="62">
      <c r="A62" s="6" t="s">
        <v>12</v>
      </c>
      <c r="B62" s="6">
        <v>25.0</v>
      </c>
      <c r="C62" s="6">
        <v>12714.0</v>
      </c>
      <c r="D62" s="6">
        <v>4389.0</v>
      </c>
      <c r="E62" s="6">
        <v>520.0</v>
      </c>
      <c r="F62" s="6">
        <v>441.0</v>
      </c>
      <c r="G62" s="6">
        <v>19333.0</v>
      </c>
      <c r="H62" s="6">
        <v>5791.0</v>
      </c>
    </row>
    <row r="63">
      <c r="A63" s="6" t="s">
        <v>14</v>
      </c>
      <c r="B63" s="6">
        <v>25.0</v>
      </c>
      <c r="C63" s="6">
        <v>8324.0</v>
      </c>
      <c r="D63" s="6">
        <v>946.0</v>
      </c>
      <c r="E63" s="6">
        <v>1192.0</v>
      </c>
      <c r="F63" s="6">
        <v>714.0</v>
      </c>
      <c r="G63" s="6">
        <v>15451.0</v>
      </c>
      <c r="H63" s="6">
        <v>5995.0</v>
      </c>
    </row>
    <row r="64">
      <c r="A64" s="6" t="s">
        <v>15</v>
      </c>
      <c r="B64" s="6">
        <v>25.0</v>
      </c>
      <c r="C64" s="6">
        <v>17677.0</v>
      </c>
      <c r="D64" s="6">
        <v>2862.0</v>
      </c>
      <c r="E64" s="6">
        <v>445.0</v>
      </c>
      <c r="F64" s="6">
        <v>958.0</v>
      </c>
      <c r="G64" s="6">
        <v>18301.0</v>
      </c>
      <c r="H64" s="6">
        <v>6784.0</v>
      </c>
    </row>
    <row r="65">
      <c r="A65" s="6" t="s">
        <v>12</v>
      </c>
      <c r="B65" s="6">
        <v>30.0</v>
      </c>
      <c r="C65" s="6">
        <v>10713.0</v>
      </c>
      <c r="D65" s="6">
        <v>1241.0</v>
      </c>
      <c r="E65" s="6">
        <v>1605.0</v>
      </c>
      <c r="F65" s="6">
        <v>594.0</v>
      </c>
      <c r="G65" s="6">
        <v>11433.0</v>
      </c>
      <c r="H65" s="6">
        <v>7785.0</v>
      </c>
    </row>
    <row r="66">
      <c r="A66" s="6" t="s">
        <v>12</v>
      </c>
      <c r="B66" s="6">
        <v>25.0</v>
      </c>
      <c r="C66" s="6">
        <v>12026.0</v>
      </c>
      <c r="D66" s="6">
        <v>1910.0</v>
      </c>
      <c r="E66" s="6">
        <v>310.0</v>
      </c>
      <c r="F66" s="6">
        <v>408.0</v>
      </c>
      <c r="G66" s="6">
        <v>16525.0</v>
      </c>
      <c r="H66" s="6">
        <v>1800.0</v>
      </c>
    </row>
    <row r="67">
      <c r="A67" s="6" t="s">
        <v>14</v>
      </c>
      <c r="B67" s="6">
        <v>30.0</v>
      </c>
      <c r="C67" s="6">
        <v>5255.0</v>
      </c>
      <c r="D67" s="6">
        <v>823.0</v>
      </c>
      <c r="E67" s="6">
        <v>854.0</v>
      </c>
      <c r="F67" s="6">
        <v>826.0</v>
      </c>
      <c r="G67" s="6">
        <v>1089.0</v>
      </c>
      <c r="H67" s="6">
        <v>7369.0</v>
      </c>
    </row>
    <row r="68">
      <c r="A68" s="6" t="s">
        <v>12</v>
      </c>
      <c r="B68" s="6">
        <v>25.0</v>
      </c>
      <c r="C68" s="6">
        <v>9804.0</v>
      </c>
      <c r="D68" s="6">
        <v>324.0</v>
      </c>
      <c r="E68" s="6">
        <v>983.0</v>
      </c>
      <c r="F68" s="6">
        <v>1377.0</v>
      </c>
      <c r="G68" s="6">
        <v>19093.0</v>
      </c>
      <c r="H68" s="6">
        <v>9935.0</v>
      </c>
    </row>
    <row r="69">
      <c r="A69" s="6" t="s">
        <v>12</v>
      </c>
      <c r="B69" s="6">
        <v>20.0</v>
      </c>
      <c r="C69" s="6">
        <v>6838.0</v>
      </c>
      <c r="D69" s="6">
        <v>4727.0</v>
      </c>
      <c r="E69" s="6">
        <v>1329.0</v>
      </c>
      <c r="F69" s="6">
        <v>973.0</v>
      </c>
      <c r="G69" s="6">
        <v>11361.0</v>
      </c>
      <c r="H69" s="6">
        <v>3597.0</v>
      </c>
    </row>
    <row r="70">
      <c r="A70" s="6" t="s">
        <v>14</v>
      </c>
      <c r="B70" s="6">
        <v>25.0</v>
      </c>
      <c r="C70" s="6">
        <v>15136.0</v>
      </c>
      <c r="D70" s="6">
        <v>4308.0</v>
      </c>
      <c r="E70" s="6">
        <v>1807.0</v>
      </c>
      <c r="F70" s="6">
        <v>1173.0</v>
      </c>
      <c r="G70" s="6">
        <v>17369.0</v>
      </c>
      <c r="H70" s="6">
        <v>5116.0</v>
      </c>
    </row>
    <row r="71">
      <c r="A71" s="6" t="s">
        <v>14</v>
      </c>
      <c r="B71" s="6">
        <v>30.0</v>
      </c>
      <c r="C71" s="6">
        <v>19785.0</v>
      </c>
      <c r="D71" s="6">
        <v>4754.0</v>
      </c>
      <c r="E71" s="6">
        <v>954.0</v>
      </c>
      <c r="F71" s="6">
        <v>196.0</v>
      </c>
      <c r="G71" s="6">
        <v>4041.0</v>
      </c>
      <c r="H71" s="6">
        <v>509.0</v>
      </c>
    </row>
    <row r="72">
      <c r="A72" s="6" t="s">
        <v>11</v>
      </c>
      <c r="B72" s="6">
        <v>15.0</v>
      </c>
      <c r="C72" s="6">
        <v>5009.0</v>
      </c>
      <c r="D72" s="6">
        <v>2148.0</v>
      </c>
      <c r="E72" s="6">
        <v>1299.0</v>
      </c>
      <c r="F72" s="6">
        <v>70.0</v>
      </c>
      <c r="G72" s="6">
        <v>1105.0</v>
      </c>
      <c r="H72" s="6">
        <v>6252.0</v>
      </c>
    </row>
    <row r="73">
      <c r="A73" s="6" t="s">
        <v>15</v>
      </c>
      <c r="B73" s="6">
        <v>25.0</v>
      </c>
      <c r="C73" s="6">
        <v>7871.0</v>
      </c>
      <c r="D73" s="6">
        <v>4849.0</v>
      </c>
      <c r="E73" s="6">
        <v>1126.0</v>
      </c>
      <c r="F73" s="6">
        <v>948.0</v>
      </c>
      <c r="G73" s="6">
        <v>10078.0</v>
      </c>
      <c r="H73" s="6">
        <v>6795.0</v>
      </c>
    </row>
    <row r="74">
      <c r="A74" s="6" t="s">
        <v>15</v>
      </c>
      <c r="B74" s="6">
        <v>15.0</v>
      </c>
      <c r="C74" s="6">
        <v>13989.0</v>
      </c>
      <c r="D74" s="6">
        <v>4515.0</v>
      </c>
      <c r="E74" s="6">
        <v>989.0</v>
      </c>
      <c r="F74" s="6">
        <v>1413.0</v>
      </c>
      <c r="G74" s="6">
        <v>19279.0</v>
      </c>
      <c r="H74" s="6">
        <v>5315.0</v>
      </c>
    </row>
    <row r="75">
      <c r="A75" s="6" t="s">
        <v>12</v>
      </c>
      <c r="B75" s="6">
        <v>20.0</v>
      </c>
      <c r="C75" s="6">
        <v>12409.0</v>
      </c>
      <c r="D75" s="6">
        <v>1673.0</v>
      </c>
      <c r="E75" s="6">
        <v>1940.0</v>
      </c>
      <c r="F75" s="6">
        <v>719.0</v>
      </c>
      <c r="G75" s="6">
        <v>7090.0</v>
      </c>
      <c r="H75" s="6">
        <v>1572.0</v>
      </c>
    </row>
    <row r="76">
      <c r="A76" s="6" t="s">
        <v>15</v>
      </c>
      <c r="B76" s="6">
        <v>10.0</v>
      </c>
      <c r="C76" s="6">
        <v>12418.0</v>
      </c>
      <c r="D76" s="6">
        <v>1928.0</v>
      </c>
      <c r="E76" s="6">
        <v>1573.0</v>
      </c>
      <c r="F76" s="6">
        <v>816.0</v>
      </c>
      <c r="G76" s="6">
        <v>7082.0</v>
      </c>
      <c r="H76" s="6">
        <v>3725.0</v>
      </c>
    </row>
    <row r="77">
      <c r="A77" s="6" t="s">
        <v>12</v>
      </c>
      <c r="B77" s="6">
        <v>20.0</v>
      </c>
      <c r="C77" s="6">
        <v>18164.0</v>
      </c>
      <c r="D77" s="6">
        <v>2017.0</v>
      </c>
      <c r="E77" s="6">
        <v>1579.0</v>
      </c>
      <c r="F77" s="6">
        <v>1473.0</v>
      </c>
      <c r="G77" s="6">
        <v>18018.0</v>
      </c>
      <c r="H77" s="6">
        <v>1816.0</v>
      </c>
    </row>
    <row r="78">
      <c r="A78" s="6" t="s">
        <v>11</v>
      </c>
      <c r="B78" s="6">
        <v>25.0</v>
      </c>
      <c r="C78" s="6">
        <v>10124.0</v>
      </c>
      <c r="D78" s="6">
        <v>4334.0</v>
      </c>
      <c r="E78" s="6">
        <v>903.0</v>
      </c>
      <c r="F78" s="6">
        <v>1352.0</v>
      </c>
      <c r="G78" s="6">
        <v>2925.0</v>
      </c>
      <c r="H78" s="6">
        <v>6199.0</v>
      </c>
    </row>
    <row r="79">
      <c r="A79" s="6" t="s">
        <v>14</v>
      </c>
      <c r="B79" s="6">
        <v>15.0</v>
      </c>
      <c r="C79" s="6">
        <v>6015.0</v>
      </c>
      <c r="D79" s="6">
        <v>2126.0</v>
      </c>
      <c r="E79" s="6">
        <v>1437.0</v>
      </c>
      <c r="F79" s="6">
        <v>1335.0</v>
      </c>
      <c r="G79" s="6">
        <v>19440.0</v>
      </c>
      <c r="H79" s="6">
        <v>7307.0</v>
      </c>
    </row>
    <row r="80">
      <c r="A80" s="6" t="s">
        <v>14</v>
      </c>
      <c r="B80" s="6">
        <v>15.0</v>
      </c>
      <c r="C80" s="6">
        <v>15016.0</v>
      </c>
      <c r="D80" s="6">
        <v>3844.0</v>
      </c>
      <c r="E80" s="6">
        <v>1353.0</v>
      </c>
      <c r="F80" s="6">
        <v>1377.0</v>
      </c>
      <c r="G80" s="6">
        <v>7917.0</v>
      </c>
      <c r="H80" s="6">
        <v>7174.0</v>
      </c>
    </row>
    <row r="81">
      <c r="A81" s="6" t="s">
        <v>14</v>
      </c>
      <c r="B81" s="6">
        <v>30.0</v>
      </c>
      <c r="C81" s="6">
        <v>17661.0</v>
      </c>
      <c r="D81" s="6">
        <v>1001.0</v>
      </c>
      <c r="E81" s="6">
        <v>642.0</v>
      </c>
      <c r="F81" s="6">
        <v>20.0</v>
      </c>
      <c r="G81" s="6">
        <v>1552.0</v>
      </c>
      <c r="H81" s="6">
        <v>4183.0</v>
      </c>
    </row>
    <row r="82">
      <c r="A82" s="6" t="s">
        <v>15</v>
      </c>
      <c r="B82" s="6">
        <v>15.0</v>
      </c>
      <c r="C82" s="6">
        <v>16328.0</v>
      </c>
      <c r="D82" s="6">
        <v>4885.0</v>
      </c>
      <c r="E82" s="6">
        <v>763.0</v>
      </c>
      <c r="F82" s="6">
        <v>1095.0</v>
      </c>
      <c r="G82" s="6">
        <v>4911.0</v>
      </c>
      <c r="H82" s="6">
        <v>7727.0</v>
      </c>
    </row>
    <row r="83">
      <c r="A83" s="6" t="s">
        <v>11</v>
      </c>
      <c r="B83" s="6">
        <v>30.0</v>
      </c>
      <c r="C83" s="6">
        <v>7193.0</v>
      </c>
      <c r="D83" s="6">
        <v>2139.0</v>
      </c>
      <c r="E83" s="6">
        <v>1231.0</v>
      </c>
      <c r="F83" s="6">
        <v>235.0</v>
      </c>
      <c r="G83" s="6">
        <v>4389.0</v>
      </c>
      <c r="H83" s="6">
        <v>3773.0</v>
      </c>
    </row>
    <row r="84">
      <c r="A84" s="6" t="s">
        <v>15</v>
      </c>
      <c r="B84" s="6">
        <v>10.0</v>
      </c>
      <c r="C84" s="6">
        <v>13415.0</v>
      </c>
      <c r="D84" s="6">
        <v>109.0</v>
      </c>
      <c r="E84" s="6">
        <v>681.0</v>
      </c>
      <c r="F84" s="6">
        <v>1186.0</v>
      </c>
      <c r="G84" s="6">
        <v>14629.0</v>
      </c>
      <c r="H84" s="6">
        <v>7500.0</v>
      </c>
    </row>
    <row r="85">
      <c r="A85" s="6" t="s">
        <v>15</v>
      </c>
      <c r="B85" s="6">
        <v>25.0</v>
      </c>
      <c r="C85" s="6">
        <v>18550.0</v>
      </c>
      <c r="D85" s="6">
        <v>360.0</v>
      </c>
      <c r="E85" s="6">
        <v>108.0</v>
      </c>
      <c r="F85" s="6">
        <v>573.0</v>
      </c>
      <c r="G85" s="6">
        <v>3430.0</v>
      </c>
      <c r="H85" s="6">
        <v>645.0</v>
      </c>
    </row>
    <row r="86">
      <c r="A86" s="6" t="s">
        <v>11</v>
      </c>
      <c r="B86" s="6">
        <v>30.0</v>
      </c>
      <c r="C86" s="6">
        <v>19512.0</v>
      </c>
      <c r="D86" s="6">
        <v>1773.0</v>
      </c>
      <c r="E86" s="6">
        <v>1800.0</v>
      </c>
      <c r="F86" s="6">
        <v>781.0</v>
      </c>
      <c r="G86" s="6">
        <v>1458.0</v>
      </c>
      <c r="H86" s="6">
        <v>5510.0</v>
      </c>
    </row>
    <row r="87">
      <c r="A87" s="6" t="s">
        <v>11</v>
      </c>
      <c r="B87" s="6">
        <v>10.0</v>
      </c>
      <c r="C87" s="6">
        <v>19090.0</v>
      </c>
      <c r="D87" s="6">
        <v>2319.0</v>
      </c>
      <c r="E87" s="6">
        <v>177.0</v>
      </c>
      <c r="F87" s="6">
        <v>1343.0</v>
      </c>
      <c r="G87" s="6">
        <v>14395.0</v>
      </c>
      <c r="H87" s="6">
        <v>3540.0</v>
      </c>
    </row>
    <row r="88">
      <c r="A88" s="6" t="s">
        <v>11</v>
      </c>
      <c r="B88" s="6">
        <v>15.0</v>
      </c>
      <c r="C88" s="6">
        <v>18140.0</v>
      </c>
      <c r="D88" s="6">
        <v>2160.0</v>
      </c>
      <c r="E88" s="6">
        <v>785.0</v>
      </c>
      <c r="F88" s="6">
        <v>894.0</v>
      </c>
      <c r="G88" s="6">
        <v>1207.0</v>
      </c>
      <c r="H88" s="6">
        <v>982.0</v>
      </c>
    </row>
    <row r="89">
      <c r="A89" s="6" t="s">
        <v>11</v>
      </c>
      <c r="B89" s="6">
        <v>15.0</v>
      </c>
      <c r="C89" s="6">
        <v>12449.0</v>
      </c>
      <c r="D89" s="6">
        <v>3813.0</v>
      </c>
      <c r="E89" s="6">
        <v>770.0</v>
      </c>
      <c r="F89" s="6">
        <v>1276.0</v>
      </c>
      <c r="G89" s="6">
        <v>1899.0</v>
      </c>
      <c r="H89" s="6">
        <v>3679.0</v>
      </c>
    </row>
    <row r="90">
      <c r="A90" s="6" t="s">
        <v>14</v>
      </c>
      <c r="B90" s="6">
        <v>10.0</v>
      </c>
      <c r="C90" s="6">
        <v>9158.0</v>
      </c>
      <c r="D90" s="6">
        <v>1719.0</v>
      </c>
      <c r="E90" s="6">
        <v>1955.0</v>
      </c>
      <c r="F90" s="6">
        <v>1399.0</v>
      </c>
      <c r="G90" s="6">
        <v>12653.0</v>
      </c>
      <c r="H90" s="6">
        <v>1749.0</v>
      </c>
    </row>
    <row r="91">
      <c r="A91" s="6" t="s">
        <v>13</v>
      </c>
      <c r="B91" s="6">
        <v>15.0</v>
      </c>
      <c r="C91" s="6">
        <v>18528.0</v>
      </c>
      <c r="D91" s="6">
        <v>420.0</v>
      </c>
      <c r="E91" s="6">
        <v>1188.0</v>
      </c>
      <c r="F91" s="6">
        <v>1363.0</v>
      </c>
      <c r="G91" s="6">
        <v>17405.0</v>
      </c>
      <c r="H91" s="6">
        <v>1130.0</v>
      </c>
    </row>
    <row r="92">
      <c r="A92" s="6" t="s">
        <v>13</v>
      </c>
      <c r="B92" s="6">
        <v>10.0</v>
      </c>
      <c r="C92" s="6">
        <v>8925.0</v>
      </c>
      <c r="D92" s="6">
        <v>1442.0</v>
      </c>
      <c r="E92" s="6">
        <v>1282.0</v>
      </c>
      <c r="F92" s="6">
        <v>1140.0</v>
      </c>
      <c r="G92" s="6">
        <v>9601.0</v>
      </c>
      <c r="H92" s="6">
        <v>9353.0</v>
      </c>
    </row>
    <row r="93">
      <c r="A93" s="6" t="s">
        <v>11</v>
      </c>
      <c r="B93" s="6">
        <v>30.0</v>
      </c>
      <c r="C93" s="6">
        <v>11970.0</v>
      </c>
      <c r="D93" s="6">
        <v>2476.0</v>
      </c>
      <c r="E93" s="6">
        <v>575.0</v>
      </c>
      <c r="F93" s="6">
        <v>235.0</v>
      </c>
      <c r="G93" s="6">
        <v>1894.0</v>
      </c>
      <c r="H93" s="6">
        <v>3352.0</v>
      </c>
    </row>
    <row r="94">
      <c r="A94" s="6" t="s">
        <v>13</v>
      </c>
      <c r="B94" s="6">
        <v>30.0</v>
      </c>
      <c r="C94" s="6">
        <v>11938.0</v>
      </c>
      <c r="D94" s="6">
        <v>2932.0</v>
      </c>
      <c r="E94" s="6">
        <v>570.0</v>
      </c>
      <c r="F94" s="6">
        <v>834.0</v>
      </c>
      <c r="G94" s="6">
        <v>1514.0</v>
      </c>
      <c r="H94" s="6">
        <v>1487.0</v>
      </c>
    </row>
    <row r="95">
      <c r="A95" s="6" t="s">
        <v>13</v>
      </c>
      <c r="B95" s="6">
        <v>10.0</v>
      </c>
      <c r="C95" s="6">
        <v>9784.0</v>
      </c>
      <c r="D95" s="6">
        <v>2924.0</v>
      </c>
      <c r="E95" s="6">
        <v>601.0</v>
      </c>
      <c r="F95" s="6">
        <v>227.0</v>
      </c>
      <c r="G95" s="6">
        <v>5109.0</v>
      </c>
      <c r="H95" s="6">
        <v>8122.0</v>
      </c>
    </row>
    <row r="96">
      <c r="A96" s="6" t="s">
        <v>11</v>
      </c>
      <c r="B96" s="6">
        <v>30.0</v>
      </c>
      <c r="C96" s="6">
        <v>18772.0</v>
      </c>
      <c r="D96" s="6">
        <v>2094.0</v>
      </c>
      <c r="E96" s="6">
        <v>286.0</v>
      </c>
      <c r="F96" s="6">
        <v>946.0</v>
      </c>
      <c r="G96" s="6">
        <v>14258.0</v>
      </c>
      <c r="H96" s="6">
        <v>7827.0</v>
      </c>
    </row>
    <row r="97">
      <c r="A97" s="6" t="s">
        <v>13</v>
      </c>
      <c r="B97" s="6">
        <v>30.0</v>
      </c>
      <c r="C97" s="6">
        <v>9000.0</v>
      </c>
      <c r="D97" s="6">
        <v>3058.0</v>
      </c>
      <c r="E97" s="6">
        <v>1354.0</v>
      </c>
      <c r="F97" s="6">
        <v>762.0</v>
      </c>
      <c r="G97" s="6">
        <v>16313.0</v>
      </c>
      <c r="H97" s="6">
        <v>9341.0</v>
      </c>
    </row>
    <row r="98">
      <c r="A98" s="6" t="s">
        <v>15</v>
      </c>
      <c r="B98" s="6">
        <v>30.0</v>
      </c>
      <c r="C98" s="6">
        <v>6633.0</v>
      </c>
      <c r="D98" s="6">
        <v>2138.0</v>
      </c>
      <c r="E98" s="6">
        <v>1432.0</v>
      </c>
      <c r="F98" s="6">
        <v>515.0</v>
      </c>
      <c r="G98" s="6">
        <v>16349.0</v>
      </c>
      <c r="H98" s="6">
        <v>9660.0</v>
      </c>
    </row>
    <row r="99">
      <c r="A99" s="6" t="s">
        <v>12</v>
      </c>
      <c r="B99" s="6">
        <v>20.0</v>
      </c>
      <c r="C99" s="6">
        <v>15344.0</v>
      </c>
      <c r="D99" s="6">
        <v>3590.0</v>
      </c>
      <c r="E99" s="6">
        <v>1274.0</v>
      </c>
      <c r="F99" s="6">
        <v>268.0</v>
      </c>
      <c r="G99" s="6">
        <v>8179.0</v>
      </c>
      <c r="H99" s="6">
        <v>1600.0</v>
      </c>
    </row>
    <row r="100">
      <c r="A100" s="6" t="s">
        <v>12</v>
      </c>
      <c r="B100" s="6">
        <v>25.0</v>
      </c>
      <c r="C100" s="6">
        <v>12266.0</v>
      </c>
      <c r="D100" s="6">
        <v>3777.0</v>
      </c>
      <c r="E100" s="6">
        <v>1831.0</v>
      </c>
      <c r="F100" s="6">
        <v>63.0</v>
      </c>
      <c r="G100" s="6">
        <v>11326.0</v>
      </c>
      <c r="H100" s="6">
        <v>7152.0</v>
      </c>
    </row>
    <row r="101">
      <c r="A101" s="6" t="s">
        <v>11</v>
      </c>
      <c r="B101" s="6">
        <v>15.0</v>
      </c>
      <c r="C101" s="6">
        <v>13702.0</v>
      </c>
      <c r="D101" s="6">
        <v>1218.0</v>
      </c>
      <c r="E101" s="6">
        <v>1351.0</v>
      </c>
      <c r="F101" s="6">
        <v>1080.0</v>
      </c>
      <c r="G101" s="6">
        <v>12787.0</v>
      </c>
      <c r="H101" s="6">
        <v>9132.0</v>
      </c>
    </row>
    <row r="102">
      <c r="A102" s="6" t="s">
        <v>14</v>
      </c>
      <c r="B102" s="6">
        <v>20.0</v>
      </c>
      <c r="C102" s="6">
        <v>5384.0</v>
      </c>
      <c r="D102" s="6">
        <v>1704.0</v>
      </c>
      <c r="E102" s="6">
        <v>1308.0</v>
      </c>
      <c r="F102" s="6">
        <v>736.0</v>
      </c>
      <c r="G102" s="6">
        <v>2560.0</v>
      </c>
      <c r="H102" s="6">
        <v>7921.0</v>
      </c>
    </row>
    <row r="103">
      <c r="A103" s="6" t="s">
        <v>11</v>
      </c>
      <c r="B103" s="6">
        <v>30.0</v>
      </c>
      <c r="C103" s="6">
        <v>5404.0</v>
      </c>
      <c r="D103" s="6">
        <v>4127.0</v>
      </c>
      <c r="E103" s="6">
        <v>543.0</v>
      </c>
      <c r="F103" s="6">
        <v>698.0</v>
      </c>
      <c r="G103" s="6">
        <v>14612.0</v>
      </c>
      <c r="H103" s="6">
        <v>5516.0</v>
      </c>
    </row>
    <row r="104">
      <c r="A104" s="6" t="s">
        <v>14</v>
      </c>
      <c r="B104" s="6">
        <v>10.0</v>
      </c>
      <c r="C104" s="6">
        <v>13175.0</v>
      </c>
      <c r="D104" s="6">
        <v>335.0</v>
      </c>
      <c r="E104" s="6">
        <v>53.0</v>
      </c>
      <c r="F104" s="6">
        <v>1132.0</v>
      </c>
      <c r="G104" s="6">
        <v>18650.0</v>
      </c>
      <c r="H104" s="6">
        <v>1269.0</v>
      </c>
    </row>
    <row r="105">
      <c r="A105" s="6" t="s">
        <v>12</v>
      </c>
      <c r="B105" s="6">
        <v>30.0</v>
      </c>
      <c r="C105" s="6">
        <v>17805.0</v>
      </c>
      <c r="D105" s="6">
        <v>2069.0</v>
      </c>
      <c r="E105" s="6">
        <v>715.0</v>
      </c>
      <c r="F105" s="6">
        <v>1053.0</v>
      </c>
      <c r="G105" s="6">
        <v>5780.0</v>
      </c>
      <c r="H105" s="6">
        <v>1843.0</v>
      </c>
    </row>
    <row r="106">
      <c r="A106" s="6" t="s">
        <v>11</v>
      </c>
      <c r="B106" s="6">
        <v>25.0</v>
      </c>
      <c r="C106" s="6">
        <v>17763.0</v>
      </c>
      <c r="D106" s="6">
        <v>4529.0</v>
      </c>
      <c r="E106" s="6">
        <v>491.0</v>
      </c>
      <c r="F106" s="6">
        <v>428.0</v>
      </c>
      <c r="G106" s="6">
        <v>19311.0</v>
      </c>
      <c r="H106" s="6">
        <v>4858.0</v>
      </c>
    </row>
    <row r="107">
      <c r="A107" s="6" t="s">
        <v>15</v>
      </c>
      <c r="B107" s="6">
        <v>30.0</v>
      </c>
      <c r="C107" s="6">
        <v>7000.0</v>
      </c>
      <c r="D107" s="6">
        <v>2008.0</v>
      </c>
      <c r="E107" s="6">
        <v>78.0</v>
      </c>
      <c r="F107" s="6">
        <v>699.0</v>
      </c>
      <c r="G107" s="6">
        <v>12894.0</v>
      </c>
      <c r="H107" s="6">
        <v>7280.0</v>
      </c>
    </row>
    <row r="108">
      <c r="A108" s="6" t="s">
        <v>13</v>
      </c>
      <c r="B108" s="6">
        <v>10.0</v>
      </c>
      <c r="C108" s="6">
        <v>15948.0</v>
      </c>
      <c r="D108" s="6">
        <v>475.0</v>
      </c>
      <c r="E108" s="6">
        <v>1182.0</v>
      </c>
      <c r="F108" s="6">
        <v>859.0</v>
      </c>
      <c r="G108" s="6">
        <v>3356.0</v>
      </c>
      <c r="H108" s="6">
        <v>7102.0</v>
      </c>
    </row>
    <row r="109">
      <c r="A109" s="6" t="s">
        <v>14</v>
      </c>
      <c r="B109" s="6">
        <v>25.0</v>
      </c>
      <c r="C109" s="6">
        <v>14860.0</v>
      </c>
      <c r="D109" s="6">
        <v>3630.0</v>
      </c>
      <c r="E109" s="6">
        <v>659.0</v>
      </c>
      <c r="F109" s="6">
        <v>71.0</v>
      </c>
      <c r="G109" s="6">
        <v>5790.0</v>
      </c>
      <c r="H109" s="6">
        <v>2849.0</v>
      </c>
    </row>
    <row r="110">
      <c r="A110" s="6" t="s">
        <v>13</v>
      </c>
      <c r="B110" s="6">
        <v>30.0</v>
      </c>
      <c r="C110" s="6">
        <v>10989.0</v>
      </c>
      <c r="D110" s="6">
        <v>2735.0</v>
      </c>
      <c r="E110" s="6">
        <v>1800.0</v>
      </c>
      <c r="F110" s="6">
        <v>1178.0</v>
      </c>
      <c r="G110" s="6">
        <v>17690.0</v>
      </c>
      <c r="H110" s="6">
        <v>6199.0</v>
      </c>
    </row>
    <row r="111">
      <c r="A111" s="6" t="s">
        <v>13</v>
      </c>
      <c r="B111" s="6">
        <v>25.0</v>
      </c>
      <c r="C111" s="6">
        <v>6460.0</v>
      </c>
      <c r="D111" s="6">
        <v>1670.0</v>
      </c>
      <c r="E111" s="6">
        <v>854.0</v>
      </c>
      <c r="F111" s="6">
        <v>225.0</v>
      </c>
      <c r="G111" s="6">
        <v>11181.0</v>
      </c>
      <c r="H111" s="6">
        <v>1741.0</v>
      </c>
    </row>
    <row r="112">
      <c r="A112" s="6" t="s">
        <v>11</v>
      </c>
      <c r="B112" s="6">
        <v>15.0</v>
      </c>
      <c r="C112" s="6">
        <v>12190.0</v>
      </c>
      <c r="D112" s="6">
        <v>2660.0</v>
      </c>
      <c r="E112" s="6">
        <v>124.0</v>
      </c>
      <c r="F112" s="6">
        <v>12.0</v>
      </c>
      <c r="G112" s="6">
        <v>8057.0</v>
      </c>
      <c r="H112" s="6">
        <v>1625.0</v>
      </c>
    </row>
    <row r="113">
      <c r="A113" s="6" t="s">
        <v>13</v>
      </c>
      <c r="B113" s="6">
        <v>15.0</v>
      </c>
      <c r="C113" s="6">
        <v>12140.0</v>
      </c>
      <c r="D113" s="6">
        <v>3491.0</v>
      </c>
      <c r="E113" s="6">
        <v>887.0</v>
      </c>
      <c r="F113" s="6">
        <v>169.0</v>
      </c>
      <c r="G113" s="6">
        <v>17082.0</v>
      </c>
      <c r="H113" s="6">
        <v>9882.0</v>
      </c>
    </row>
    <row r="114">
      <c r="A114" s="6" t="s">
        <v>15</v>
      </c>
      <c r="B114" s="6">
        <v>30.0</v>
      </c>
      <c r="C114" s="6">
        <v>8636.0</v>
      </c>
      <c r="D114" s="6">
        <v>3065.0</v>
      </c>
      <c r="E114" s="6">
        <v>1219.0</v>
      </c>
      <c r="F114" s="6">
        <v>790.0</v>
      </c>
      <c r="G114" s="6">
        <v>1661.0</v>
      </c>
      <c r="H114" s="6">
        <v>7264.0</v>
      </c>
    </row>
    <row r="115">
      <c r="A115" s="6" t="s">
        <v>13</v>
      </c>
      <c r="B115" s="6">
        <v>25.0</v>
      </c>
      <c r="C115" s="6">
        <v>15916.0</v>
      </c>
      <c r="D115" s="6">
        <v>3743.0</v>
      </c>
      <c r="E115" s="6">
        <v>177.0</v>
      </c>
      <c r="F115" s="6">
        <v>1153.0</v>
      </c>
      <c r="G115" s="6">
        <v>5644.0</v>
      </c>
      <c r="H115" s="6">
        <v>5601.0</v>
      </c>
    </row>
    <row r="116">
      <c r="A116" s="6" t="s">
        <v>11</v>
      </c>
      <c r="B116" s="6">
        <v>10.0</v>
      </c>
      <c r="C116" s="6">
        <v>9809.0</v>
      </c>
      <c r="D116" s="6">
        <v>3950.0</v>
      </c>
      <c r="E116" s="6">
        <v>1926.0</v>
      </c>
      <c r="F116" s="6">
        <v>902.0</v>
      </c>
      <c r="G116" s="6">
        <v>16711.0</v>
      </c>
      <c r="H116" s="6">
        <v>8343.0</v>
      </c>
    </row>
    <row r="117">
      <c r="A117" s="6" t="s">
        <v>15</v>
      </c>
      <c r="B117" s="6">
        <v>30.0</v>
      </c>
      <c r="C117" s="6">
        <v>9178.0</v>
      </c>
      <c r="D117" s="6">
        <v>972.0</v>
      </c>
      <c r="E117" s="6">
        <v>91.0</v>
      </c>
      <c r="F117" s="6">
        <v>1122.0</v>
      </c>
      <c r="G117" s="6">
        <v>3920.0</v>
      </c>
      <c r="H117" s="6">
        <v>572.0</v>
      </c>
    </row>
    <row r="118">
      <c r="A118" s="6" t="s">
        <v>12</v>
      </c>
      <c r="B118" s="6">
        <v>15.0</v>
      </c>
      <c r="C118" s="6">
        <v>18456.0</v>
      </c>
      <c r="D118" s="6">
        <v>1352.0</v>
      </c>
      <c r="E118" s="6">
        <v>1429.0</v>
      </c>
      <c r="F118" s="6">
        <v>338.0</v>
      </c>
      <c r="G118" s="6">
        <v>17002.0</v>
      </c>
      <c r="H118" s="6">
        <v>5972.0</v>
      </c>
    </row>
    <row r="119">
      <c r="A119" s="6" t="s">
        <v>13</v>
      </c>
      <c r="B119" s="6">
        <v>15.0</v>
      </c>
      <c r="C119" s="6">
        <v>12245.0</v>
      </c>
      <c r="D119" s="6">
        <v>1414.0</v>
      </c>
      <c r="E119" s="6">
        <v>90.0</v>
      </c>
      <c r="F119" s="6">
        <v>589.0</v>
      </c>
      <c r="G119" s="6">
        <v>15025.0</v>
      </c>
      <c r="H119" s="6">
        <v>5689.0</v>
      </c>
    </row>
    <row r="120">
      <c r="A120" s="6" t="s">
        <v>11</v>
      </c>
      <c r="B120" s="6">
        <v>30.0</v>
      </c>
      <c r="C120" s="6">
        <v>11600.0</v>
      </c>
      <c r="D120" s="6">
        <v>4920.0</v>
      </c>
      <c r="E120" s="6">
        <v>983.0</v>
      </c>
      <c r="F120" s="6">
        <v>1390.0</v>
      </c>
      <c r="G120" s="6">
        <v>9946.0</v>
      </c>
      <c r="H120" s="6">
        <v>2972.0</v>
      </c>
    </row>
    <row r="121">
      <c r="A121" s="6" t="s">
        <v>12</v>
      </c>
      <c r="B121" s="6">
        <v>25.0</v>
      </c>
      <c r="C121" s="6">
        <v>10997.0</v>
      </c>
      <c r="D121" s="6">
        <v>2998.0</v>
      </c>
      <c r="E121" s="6">
        <v>83.0</v>
      </c>
      <c r="F121" s="6">
        <v>1300.0</v>
      </c>
      <c r="G121" s="6">
        <v>13732.0</v>
      </c>
      <c r="H121" s="6">
        <v>1207.0</v>
      </c>
    </row>
    <row r="122">
      <c r="A122" s="6" t="s">
        <v>12</v>
      </c>
      <c r="B122" s="6">
        <v>15.0</v>
      </c>
      <c r="C122" s="6">
        <v>7048.0</v>
      </c>
      <c r="D122" s="6">
        <v>177.0</v>
      </c>
      <c r="E122" s="6">
        <v>1090.0</v>
      </c>
      <c r="F122" s="6">
        <v>961.0</v>
      </c>
      <c r="G122" s="6">
        <v>7236.0</v>
      </c>
      <c r="H122" s="6">
        <v>2304.0</v>
      </c>
    </row>
    <row r="123">
      <c r="A123" s="6" t="s">
        <v>14</v>
      </c>
      <c r="B123" s="6">
        <v>25.0</v>
      </c>
      <c r="C123" s="6">
        <v>17338.0</v>
      </c>
      <c r="D123" s="6">
        <v>2721.0</v>
      </c>
      <c r="E123" s="6">
        <v>1750.0</v>
      </c>
      <c r="F123" s="6">
        <v>1356.0</v>
      </c>
      <c r="G123" s="6">
        <v>17309.0</v>
      </c>
      <c r="H123" s="6">
        <v>7204.0</v>
      </c>
    </row>
    <row r="124">
      <c r="A124" s="6" t="s">
        <v>15</v>
      </c>
      <c r="B124" s="6">
        <v>15.0</v>
      </c>
      <c r="C124" s="6">
        <v>9780.0</v>
      </c>
      <c r="D124" s="6">
        <v>4327.0</v>
      </c>
      <c r="E124" s="6">
        <v>1226.0</v>
      </c>
      <c r="F124" s="6">
        <v>644.0</v>
      </c>
      <c r="G124" s="6">
        <v>14518.0</v>
      </c>
      <c r="H124" s="6">
        <v>4213.0</v>
      </c>
    </row>
    <row r="125">
      <c r="A125" s="6" t="s">
        <v>13</v>
      </c>
      <c r="B125" s="6">
        <v>15.0</v>
      </c>
      <c r="C125" s="6">
        <v>5716.0</v>
      </c>
      <c r="D125" s="6">
        <v>700.0</v>
      </c>
      <c r="E125" s="6">
        <v>1047.0</v>
      </c>
      <c r="F125" s="6">
        <v>997.0</v>
      </c>
      <c r="G125" s="6">
        <v>1352.0</v>
      </c>
      <c r="H125" s="6">
        <v>5551.0</v>
      </c>
    </row>
    <row r="126">
      <c r="A126" s="6" t="s">
        <v>11</v>
      </c>
      <c r="B126" s="6">
        <v>20.0</v>
      </c>
      <c r="C126" s="6">
        <v>12939.0</v>
      </c>
      <c r="D126" s="6">
        <v>1165.0</v>
      </c>
      <c r="E126" s="6">
        <v>1451.0</v>
      </c>
      <c r="F126" s="6">
        <v>1228.0</v>
      </c>
      <c r="G126" s="6">
        <v>8005.0</v>
      </c>
      <c r="H126" s="6">
        <v>2975.0</v>
      </c>
    </row>
    <row r="127">
      <c r="A127" s="6" t="s">
        <v>14</v>
      </c>
      <c r="B127" s="6">
        <v>15.0</v>
      </c>
      <c r="C127" s="6">
        <v>10565.0</v>
      </c>
      <c r="D127" s="6">
        <v>2236.0</v>
      </c>
      <c r="E127" s="6">
        <v>637.0</v>
      </c>
      <c r="F127" s="6">
        <v>930.0</v>
      </c>
      <c r="G127" s="6">
        <v>15036.0</v>
      </c>
      <c r="H127" s="6">
        <v>4110.0</v>
      </c>
    </row>
    <row r="128">
      <c r="A128" s="6" t="s">
        <v>15</v>
      </c>
      <c r="B128" s="6">
        <v>10.0</v>
      </c>
      <c r="C128" s="6">
        <v>9544.0</v>
      </c>
      <c r="D128" s="6">
        <v>2549.0</v>
      </c>
      <c r="E128" s="6">
        <v>1672.0</v>
      </c>
      <c r="F128" s="6">
        <v>747.0</v>
      </c>
      <c r="G128" s="6">
        <v>17542.0</v>
      </c>
      <c r="H128" s="6">
        <v>4755.0</v>
      </c>
    </row>
    <row r="129">
      <c r="A129" s="6" t="s">
        <v>14</v>
      </c>
      <c r="B129" s="6">
        <v>30.0</v>
      </c>
      <c r="C129" s="6">
        <v>9976.0</v>
      </c>
      <c r="D129" s="6">
        <v>2443.0</v>
      </c>
      <c r="E129" s="6">
        <v>1702.0</v>
      </c>
      <c r="F129" s="6">
        <v>1365.0</v>
      </c>
      <c r="G129" s="6">
        <v>1956.0</v>
      </c>
      <c r="H129" s="6">
        <v>7897.0</v>
      </c>
    </row>
    <row r="130">
      <c r="A130" s="6" t="s">
        <v>15</v>
      </c>
      <c r="B130" s="6">
        <v>30.0</v>
      </c>
      <c r="C130" s="6">
        <v>17775.0</v>
      </c>
      <c r="D130" s="6">
        <v>1963.0</v>
      </c>
      <c r="E130" s="6">
        <v>1947.0</v>
      </c>
      <c r="F130" s="6">
        <v>179.0</v>
      </c>
      <c r="G130" s="6">
        <v>3071.0</v>
      </c>
      <c r="H130" s="6">
        <v>2235.0</v>
      </c>
    </row>
    <row r="131">
      <c r="A131" s="6" t="s">
        <v>15</v>
      </c>
      <c r="B131" s="6">
        <v>25.0</v>
      </c>
      <c r="C131" s="6">
        <v>15015.0</v>
      </c>
      <c r="D131" s="6">
        <v>1418.0</v>
      </c>
      <c r="E131" s="6">
        <v>391.0</v>
      </c>
      <c r="F131" s="6">
        <v>530.0</v>
      </c>
      <c r="G131" s="6">
        <v>9595.0</v>
      </c>
      <c r="H131" s="6">
        <v>8758.0</v>
      </c>
    </row>
    <row r="132">
      <c r="A132" s="6" t="s">
        <v>13</v>
      </c>
      <c r="B132" s="6">
        <v>15.0</v>
      </c>
      <c r="C132" s="6">
        <v>15273.0</v>
      </c>
      <c r="D132" s="6">
        <v>4811.0</v>
      </c>
      <c r="E132" s="6">
        <v>76.0</v>
      </c>
      <c r="F132" s="6">
        <v>1496.0</v>
      </c>
      <c r="G132" s="6">
        <v>16140.0</v>
      </c>
      <c r="H132" s="6">
        <v>8479.0</v>
      </c>
    </row>
    <row r="133">
      <c r="A133" s="6" t="s">
        <v>15</v>
      </c>
      <c r="B133" s="6">
        <v>10.0</v>
      </c>
      <c r="C133" s="6">
        <v>8419.0</v>
      </c>
      <c r="D133" s="6">
        <v>3697.0</v>
      </c>
      <c r="E133" s="6">
        <v>1898.0</v>
      </c>
      <c r="F133" s="6">
        <v>49.0</v>
      </c>
      <c r="G133" s="6">
        <v>13803.0</v>
      </c>
      <c r="H133" s="6">
        <v>2928.0</v>
      </c>
    </row>
    <row r="134">
      <c r="A134" s="6" t="s">
        <v>14</v>
      </c>
      <c r="B134" s="6">
        <v>25.0</v>
      </c>
      <c r="C134" s="6">
        <v>19430.0</v>
      </c>
      <c r="D134" s="6">
        <v>3862.0</v>
      </c>
      <c r="E134" s="6">
        <v>1360.0</v>
      </c>
      <c r="F134" s="6">
        <v>1294.0</v>
      </c>
      <c r="G134" s="6">
        <v>4453.0</v>
      </c>
      <c r="H134" s="6">
        <v>7926.0</v>
      </c>
    </row>
    <row r="135">
      <c r="A135" s="6" t="s">
        <v>15</v>
      </c>
      <c r="B135" s="6">
        <v>20.0</v>
      </c>
      <c r="C135" s="6">
        <v>12239.0</v>
      </c>
      <c r="D135" s="6">
        <v>4770.0</v>
      </c>
      <c r="E135" s="6">
        <v>695.0</v>
      </c>
      <c r="F135" s="6">
        <v>1428.0</v>
      </c>
      <c r="G135" s="6">
        <v>7675.0</v>
      </c>
      <c r="H135" s="6">
        <v>9033.0</v>
      </c>
    </row>
    <row r="136">
      <c r="A136" s="6" t="s">
        <v>13</v>
      </c>
      <c r="B136" s="6">
        <v>25.0</v>
      </c>
      <c r="C136" s="6">
        <v>14766.0</v>
      </c>
      <c r="D136" s="6">
        <v>2290.0</v>
      </c>
      <c r="E136" s="6">
        <v>780.0</v>
      </c>
      <c r="F136" s="6">
        <v>964.0</v>
      </c>
      <c r="G136" s="6">
        <v>1955.0</v>
      </c>
      <c r="H136" s="6">
        <v>5749.0</v>
      </c>
    </row>
    <row r="137">
      <c r="A137" s="6" t="s">
        <v>13</v>
      </c>
      <c r="B137" s="6">
        <v>25.0</v>
      </c>
      <c r="C137" s="6">
        <v>19489.0</v>
      </c>
      <c r="D137" s="6">
        <v>1092.0</v>
      </c>
      <c r="E137" s="6">
        <v>217.0</v>
      </c>
      <c r="F137" s="6">
        <v>1259.0</v>
      </c>
      <c r="G137" s="6">
        <v>7295.0</v>
      </c>
      <c r="H137" s="6">
        <v>5791.0</v>
      </c>
    </row>
    <row r="138">
      <c r="A138" s="6" t="s">
        <v>14</v>
      </c>
      <c r="B138" s="6">
        <v>15.0</v>
      </c>
      <c r="C138" s="6">
        <v>5249.0</v>
      </c>
      <c r="D138" s="6">
        <v>2812.0</v>
      </c>
      <c r="E138" s="6">
        <v>659.0</v>
      </c>
      <c r="F138" s="6">
        <v>993.0</v>
      </c>
      <c r="G138" s="6">
        <v>16921.0</v>
      </c>
      <c r="H138" s="6">
        <v>3317.0</v>
      </c>
    </row>
    <row r="139">
      <c r="A139" s="6" t="s">
        <v>12</v>
      </c>
      <c r="B139" s="6">
        <v>20.0</v>
      </c>
      <c r="C139" s="6">
        <v>13865.0</v>
      </c>
      <c r="D139" s="6">
        <v>2292.0</v>
      </c>
      <c r="E139" s="6">
        <v>317.0</v>
      </c>
      <c r="F139" s="6">
        <v>1157.0</v>
      </c>
      <c r="G139" s="6">
        <v>19096.0</v>
      </c>
      <c r="H139" s="6">
        <v>9924.0</v>
      </c>
    </row>
    <row r="140">
      <c r="A140" s="6" t="s">
        <v>12</v>
      </c>
      <c r="B140" s="6">
        <v>25.0</v>
      </c>
      <c r="C140" s="6">
        <v>17725.0</v>
      </c>
      <c r="D140" s="6">
        <v>1348.0</v>
      </c>
      <c r="E140" s="6">
        <v>1822.0</v>
      </c>
      <c r="F140" s="6">
        <v>984.0</v>
      </c>
      <c r="G140" s="6">
        <v>16282.0</v>
      </c>
      <c r="H140" s="6">
        <v>4374.0</v>
      </c>
    </row>
    <row r="141">
      <c r="A141" s="6" t="s">
        <v>15</v>
      </c>
      <c r="B141" s="6">
        <v>10.0</v>
      </c>
      <c r="C141" s="6">
        <v>15357.0</v>
      </c>
      <c r="D141" s="6">
        <v>3154.0</v>
      </c>
      <c r="E141" s="6">
        <v>870.0</v>
      </c>
      <c r="F141" s="6">
        <v>47.0</v>
      </c>
      <c r="G141" s="6">
        <v>5703.0</v>
      </c>
      <c r="H141" s="6">
        <v>4711.0</v>
      </c>
    </row>
    <row r="142">
      <c r="A142" s="6" t="s">
        <v>11</v>
      </c>
      <c r="B142" s="6">
        <v>10.0</v>
      </c>
      <c r="C142" s="6">
        <v>5770.0</v>
      </c>
      <c r="D142" s="6">
        <v>4698.0</v>
      </c>
      <c r="E142" s="6">
        <v>504.0</v>
      </c>
      <c r="F142" s="6">
        <v>337.0</v>
      </c>
      <c r="G142" s="6">
        <v>7563.0</v>
      </c>
      <c r="H142" s="6">
        <v>1161.0</v>
      </c>
    </row>
    <row r="143">
      <c r="A143" s="6" t="s">
        <v>15</v>
      </c>
      <c r="B143" s="6">
        <v>30.0</v>
      </c>
      <c r="C143" s="6">
        <v>17154.0</v>
      </c>
      <c r="D143" s="6">
        <v>4133.0</v>
      </c>
      <c r="E143" s="6">
        <v>955.0</v>
      </c>
      <c r="F143" s="6">
        <v>1284.0</v>
      </c>
      <c r="G143" s="6">
        <v>13003.0</v>
      </c>
      <c r="H143" s="6">
        <v>3874.0</v>
      </c>
    </row>
    <row r="144">
      <c r="A144" s="6" t="s">
        <v>14</v>
      </c>
      <c r="B144" s="6">
        <v>20.0</v>
      </c>
      <c r="C144" s="6">
        <v>9363.0</v>
      </c>
      <c r="D144" s="6">
        <v>2097.0</v>
      </c>
      <c r="E144" s="6">
        <v>1758.0</v>
      </c>
      <c r="F144" s="6">
        <v>1209.0</v>
      </c>
      <c r="G144" s="6">
        <v>11817.0</v>
      </c>
      <c r="H144" s="6">
        <v>9708.0</v>
      </c>
    </row>
    <row r="145">
      <c r="A145" s="6" t="s">
        <v>14</v>
      </c>
      <c r="B145" s="6">
        <v>20.0</v>
      </c>
      <c r="C145" s="6">
        <v>15176.0</v>
      </c>
      <c r="D145" s="6">
        <v>3787.0</v>
      </c>
      <c r="E145" s="6">
        <v>1474.0</v>
      </c>
      <c r="F145" s="6">
        <v>923.0</v>
      </c>
      <c r="G145" s="6">
        <v>12171.0</v>
      </c>
      <c r="H145" s="6">
        <v>707.0</v>
      </c>
    </row>
    <row r="146">
      <c r="A146" s="6" t="s">
        <v>14</v>
      </c>
      <c r="B146" s="6">
        <v>30.0</v>
      </c>
      <c r="C146" s="6">
        <v>6077.0</v>
      </c>
      <c r="D146" s="6">
        <v>2251.0</v>
      </c>
      <c r="E146" s="6">
        <v>971.0</v>
      </c>
      <c r="F146" s="6">
        <v>463.0</v>
      </c>
      <c r="G146" s="6">
        <v>13582.0</v>
      </c>
      <c r="H146" s="6">
        <v>3165.0</v>
      </c>
    </row>
    <row r="147">
      <c r="A147" s="6" t="s">
        <v>14</v>
      </c>
      <c r="B147" s="6">
        <v>25.0</v>
      </c>
      <c r="C147" s="6">
        <v>13427.0</v>
      </c>
      <c r="D147" s="6">
        <v>4118.0</v>
      </c>
      <c r="E147" s="6">
        <v>1030.0</v>
      </c>
      <c r="F147" s="6">
        <v>46.0</v>
      </c>
      <c r="G147" s="6">
        <v>13201.0</v>
      </c>
      <c r="H147" s="6">
        <v>2993.0</v>
      </c>
    </row>
    <row r="148">
      <c r="A148" s="6" t="s">
        <v>14</v>
      </c>
      <c r="B148" s="6">
        <v>20.0</v>
      </c>
      <c r="C148" s="6">
        <v>13580.0</v>
      </c>
      <c r="D148" s="6">
        <v>3210.0</v>
      </c>
      <c r="E148" s="6">
        <v>1549.0</v>
      </c>
      <c r="F148" s="6">
        <v>1349.0</v>
      </c>
      <c r="G148" s="6">
        <v>18778.0</v>
      </c>
      <c r="H148" s="6">
        <v>7313.0</v>
      </c>
    </row>
    <row r="149">
      <c r="A149" s="6" t="s">
        <v>13</v>
      </c>
      <c r="B149" s="6">
        <v>10.0</v>
      </c>
      <c r="C149" s="6">
        <v>16229.0</v>
      </c>
      <c r="D149" s="6">
        <v>2070.0</v>
      </c>
      <c r="E149" s="6">
        <v>751.0</v>
      </c>
      <c r="F149" s="6">
        <v>982.0</v>
      </c>
      <c r="G149" s="6">
        <v>13473.0</v>
      </c>
      <c r="H149" s="6">
        <v>1132.0</v>
      </c>
    </row>
    <row r="150">
      <c r="A150" s="6" t="s">
        <v>12</v>
      </c>
      <c r="B150" s="6">
        <v>10.0</v>
      </c>
      <c r="C150" s="6">
        <v>12901.0</v>
      </c>
      <c r="D150" s="6">
        <v>297.0</v>
      </c>
      <c r="E150" s="6">
        <v>683.0</v>
      </c>
      <c r="F150" s="6">
        <v>805.0</v>
      </c>
      <c r="G150" s="6">
        <v>10461.0</v>
      </c>
      <c r="H150" s="6">
        <v>3583.0</v>
      </c>
    </row>
    <row r="151">
      <c r="A151" s="6" t="s">
        <v>14</v>
      </c>
      <c r="B151" s="6">
        <v>15.0</v>
      </c>
      <c r="C151" s="6">
        <v>9858.0</v>
      </c>
      <c r="D151" s="6">
        <v>2726.0</v>
      </c>
      <c r="E151" s="6">
        <v>1631.0</v>
      </c>
      <c r="F151" s="6">
        <v>982.0</v>
      </c>
      <c r="G151" s="6">
        <v>16596.0</v>
      </c>
      <c r="H151" s="6">
        <v>4219.0</v>
      </c>
    </row>
    <row r="152">
      <c r="A152" s="6" t="s">
        <v>11</v>
      </c>
      <c r="B152" s="6">
        <v>20.0</v>
      </c>
      <c r="C152" s="6">
        <v>15040.0</v>
      </c>
      <c r="D152" s="6">
        <v>1302.0</v>
      </c>
      <c r="E152" s="6">
        <v>1649.0</v>
      </c>
      <c r="F152" s="6">
        <v>602.0</v>
      </c>
      <c r="G152" s="6">
        <v>1529.0</v>
      </c>
      <c r="H152" s="6">
        <v>7623.0</v>
      </c>
    </row>
    <row r="153">
      <c r="A153" s="6" t="s">
        <v>11</v>
      </c>
      <c r="B153" s="6">
        <v>25.0</v>
      </c>
      <c r="C153" s="6">
        <v>11544.0</v>
      </c>
      <c r="D153" s="6">
        <v>2135.0</v>
      </c>
      <c r="E153" s="6">
        <v>179.0</v>
      </c>
      <c r="F153" s="6">
        <v>1147.0</v>
      </c>
      <c r="G153" s="6">
        <v>13765.0</v>
      </c>
      <c r="H153" s="6">
        <v>2179.0</v>
      </c>
    </row>
    <row r="154">
      <c r="A154" s="6" t="s">
        <v>11</v>
      </c>
      <c r="B154" s="6">
        <v>30.0</v>
      </c>
      <c r="C154" s="6">
        <v>9719.0</v>
      </c>
      <c r="D154" s="6">
        <v>577.0</v>
      </c>
      <c r="E154" s="6">
        <v>1069.0</v>
      </c>
      <c r="F154" s="6">
        <v>1073.0</v>
      </c>
      <c r="G154" s="6">
        <v>14910.0</v>
      </c>
      <c r="H154" s="6">
        <v>736.0</v>
      </c>
    </row>
    <row r="155">
      <c r="A155" s="6" t="s">
        <v>11</v>
      </c>
      <c r="B155" s="6">
        <v>30.0</v>
      </c>
      <c r="C155" s="6">
        <v>7814.0</v>
      </c>
      <c r="D155" s="6">
        <v>1354.0</v>
      </c>
      <c r="E155" s="6">
        <v>1895.0</v>
      </c>
      <c r="F155" s="6">
        <v>1334.0</v>
      </c>
      <c r="G155" s="6">
        <v>12561.0</v>
      </c>
      <c r="H155" s="6">
        <v>7946.0</v>
      </c>
    </row>
    <row r="156">
      <c r="A156" s="6" t="s">
        <v>13</v>
      </c>
      <c r="B156" s="6">
        <v>25.0</v>
      </c>
      <c r="C156" s="6">
        <v>8374.0</v>
      </c>
      <c r="D156" s="6">
        <v>1022.0</v>
      </c>
      <c r="E156" s="6">
        <v>1436.0</v>
      </c>
      <c r="F156" s="6">
        <v>233.0</v>
      </c>
      <c r="G156" s="6">
        <v>10131.0</v>
      </c>
      <c r="H156" s="6">
        <v>4943.0</v>
      </c>
    </row>
    <row r="157">
      <c r="A157" s="6" t="s">
        <v>11</v>
      </c>
      <c r="B157" s="6">
        <v>15.0</v>
      </c>
      <c r="C157" s="6">
        <v>16470.0</v>
      </c>
      <c r="D157" s="6">
        <v>519.0</v>
      </c>
      <c r="E157" s="6">
        <v>1778.0</v>
      </c>
      <c r="F157" s="6">
        <v>327.0</v>
      </c>
      <c r="G157" s="6">
        <v>1525.0</v>
      </c>
      <c r="H157" s="6">
        <v>7270.0</v>
      </c>
    </row>
    <row r="158">
      <c r="A158" s="6" t="s">
        <v>14</v>
      </c>
      <c r="B158" s="6">
        <v>30.0</v>
      </c>
      <c r="C158" s="6">
        <v>6252.0</v>
      </c>
      <c r="D158" s="6">
        <v>2304.0</v>
      </c>
      <c r="E158" s="6">
        <v>868.0</v>
      </c>
      <c r="F158" s="6">
        <v>358.0</v>
      </c>
      <c r="G158" s="6">
        <v>17385.0</v>
      </c>
      <c r="H158" s="6">
        <v>6599.0</v>
      </c>
    </row>
    <row r="159">
      <c r="A159" s="6" t="s">
        <v>15</v>
      </c>
      <c r="B159" s="6">
        <v>20.0</v>
      </c>
      <c r="C159" s="6">
        <v>11996.0</v>
      </c>
      <c r="D159" s="6">
        <v>2697.0</v>
      </c>
      <c r="E159" s="6">
        <v>742.0</v>
      </c>
      <c r="F159" s="6">
        <v>124.0</v>
      </c>
      <c r="G159" s="6">
        <v>1374.0</v>
      </c>
      <c r="H159" s="6">
        <v>9055.0</v>
      </c>
    </row>
    <row r="160">
      <c r="A160" s="6" t="s">
        <v>11</v>
      </c>
      <c r="B160" s="6">
        <v>15.0</v>
      </c>
      <c r="C160" s="6">
        <v>17173.0</v>
      </c>
      <c r="D160" s="6">
        <v>1220.0</v>
      </c>
      <c r="E160" s="6">
        <v>1365.0</v>
      </c>
      <c r="F160" s="6">
        <v>707.0</v>
      </c>
      <c r="G160" s="6">
        <v>13197.0</v>
      </c>
      <c r="H160" s="6">
        <v>2868.0</v>
      </c>
    </row>
    <row r="161">
      <c r="A161" s="6" t="s">
        <v>13</v>
      </c>
      <c r="B161" s="6">
        <v>20.0</v>
      </c>
      <c r="C161" s="6">
        <v>9673.0</v>
      </c>
      <c r="D161" s="6">
        <v>3168.0</v>
      </c>
      <c r="E161" s="6">
        <v>1444.0</v>
      </c>
      <c r="F161" s="6">
        <v>1356.0</v>
      </c>
      <c r="G161" s="6">
        <v>5648.0</v>
      </c>
      <c r="H161" s="6">
        <v>785.0</v>
      </c>
    </row>
    <row r="162">
      <c r="A162" s="6" t="s">
        <v>13</v>
      </c>
      <c r="B162" s="6">
        <v>10.0</v>
      </c>
      <c r="C162" s="6">
        <v>15314.0</v>
      </c>
      <c r="D162" s="6">
        <v>1050.0</v>
      </c>
      <c r="E162" s="6">
        <v>843.0</v>
      </c>
      <c r="F162" s="6">
        <v>1073.0</v>
      </c>
      <c r="G162" s="6">
        <v>3365.0</v>
      </c>
      <c r="H162" s="6">
        <v>648.0</v>
      </c>
    </row>
    <row r="163">
      <c r="A163" s="6" t="s">
        <v>11</v>
      </c>
      <c r="B163" s="6">
        <v>15.0</v>
      </c>
      <c r="C163" s="6">
        <v>9530.0</v>
      </c>
      <c r="D163" s="6">
        <v>2436.0</v>
      </c>
      <c r="E163" s="6">
        <v>78.0</v>
      </c>
      <c r="F163" s="6">
        <v>49.0</v>
      </c>
      <c r="G163" s="6">
        <v>18909.0</v>
      </c>
      <c r="H163" s="6">
        <v>4537.0</v>
      </c>
    </row>
    <row r="164">
      <c r="A164" s="6" t="s">
        <v>15</v>
      </c>
      <c r="B164" s="6">
        <v>30.0</v>
      </c>
      <c r="C164" s="6">
        <v>15342.0</v>
      </c>
      <c r="D164" s="6">
        <v>2343.0</v>
      </c>
      <c r="E164" s="6">
        <v>198.0</v>
      </c>
      <c r="F164" s="6">
        <v>1322.0</v>
      </c>
      <c r="G164" s="6">
        <v>2646.0</v>
      </c>
      <c r="H164" s="6">
        <v>7049.0</v>
      </c>
    </row>
    <row r="165">
      <c r="A165" s="6" t="s">
        <v>11</v>
      </c>
      <c r="B165" s="6">
        <v>15.0</v>
      </c>
      <c r="C165" s="6">
        <v>18051.0</v>
      </c>
      <c r="D165" s="6">
        <v>2745.0</v>
      </c>
      <c r="E165" s="6">
        <v>1852.0</v>
      </c>
      <c r="F165" s="6">
        <v>1295.0</v>
      </c>
      <c r="G165" s="6">
        <v>1013.0</v>
      </c>
      <c r="H165" s="6">
        <v>7621.0</v>
      </c>
    </row>
    <row r="166">
      <c r="A166" s="6" t="s">
        <v>13</v>
      </c>
      <c r="B166" s="6">
        <v>15.0</v>
      </c>
      <c r="C166" s="6">
        <v>11881.0</v>
      </c>
      <c r="D166" s="6">
        <v>1957.0</v>
      </c>
      <c r="E166" s="6">
        <v>1369.0</v>
      </c>
      <c r="F166" s="6">
        <v>225.0</v>
      </c>
      <c r="G166" s="6">
        <v>5599.0</v>
      </c>
      <c r="H166" s="6">
        <v>5395.0</v>
      </c>
    </row>
    <row r="167">
      <c r="A167" s="6" t="s">
        <v>12</v>
      </c>
      <c r="B167" s="6">
        <v>15.0</v>
      </c>
      <c r="C167" s="6">
        <v>11949.0</v>
      </c>
      <c r="D167" s="6">
        <v>4712.0</v>
      </c>
      <c r="E167" s="6">
        <v>60.0</v>
      </c>
      <c r="F167" s="6">
        <v>1180.0</v>
      </c>
      <c r="G167" s="6">
        <v>3278.0</v>
      </c>
      <c r="H167" s="6">
        <v>5780.0</v>
      </c>
    </row>
    <row r="168">
      <c r="A168" s="6" t="s">
        <v>14</v>
      </c>
      <c r="B168" s="6">
        <v>15.0</v>
      </c>
      <c r="C168" s="6">
        <v>14521.0</v>
      </c>
      <c r="D168" s="6">
        <v>1965.0</v>
      </c>
      <c r="E168" s="6">
        <v>1585.0</v>
      </c>
      <c r="F168" s="6">
        <v>345.0</v>
      </c>
      <c r="G168" s="6">
        <v>15296.0</v>
      </c>
      <c r="H168" s="6">
        <v>1512.0</v>
      </c>
    </row>
    <row r="169">
      <c r="A169" s="6" t="s">
        <v>13</v>
      </c>
      <c r="B169" s="6">
        <v>20.0</v>
      </c>
      <c r="C169" s="6">
        <v>11241.0</v>
      </c>
      <c r="D169" s="6">
        <v>3012.0</v>
      </c>
      <c r="E169" s="6">
        <v>725.0</v>
      </c>
      <c r="F169" s="6">
        <v>1201.0</v>
      </c>
      <c r="G169" s="6">
        <v>4155.0</v>
      </c>
      <c r="H169" s="6">
        <v>3285.0</v>
      </c>
    </row>
    <row r="170">
      <c r="A170" s="6" t="s">
        <v>11</v>
      </c>
      <c r="B170" s="6">
        <v>10.0</v>
      </c>
      <c r="C170" s="6">
        <v>13017.0</v>
      </c>
      <c r="D170" s="6">
        <v>2953.0</v>
      </c>
      <c r="E170" s="6">
        <v>1186.0</v>
      </c>
      <c r="F170" s="6">
        <v>101.0</v>
      </c>
      <c r="G170" s="6">
        <v>9321.0</v>
      </c>
      <c r="H170" s="6">
        <v>4225.0</v>
      </c>
    </row>
    <row r="171">
      <c r="A171" s="6" t="s">
        <v>14</v>
      </c>
      <c r="B171" s="6">
        <v>25.0</v>
      </c>
      <c r="C171" s="6">
        <v>11941.0</v>
      </c>
      <c r="D171" s="6">
        <v>3328.0</v>
      </c>
      <c r="E171" s="6">
        <v>236.0</v>
      </c>
      <c r="F171" s="6">
        <v>362.0</v>
      </c>
      <c r="G171" s="6">
        <v>4814.0</v>
      </c>
      <c r="H171" s="6">
        <v>5076.0</v>
      </c>
    </row>
    <row r="172">
      <c r="A172" s="6" t="s">
        <v>11</v>
      </c>
      <c r="B172" s="6">
        <v>15.0</v>
      </c>
      <c r="C172" s="6">
        <v>14550.0</v>
      </c>
      <c r="D172" s="6">
        <v>3819.0</v>
      </c>
      <c r="E172" s="6">
        <v>856.0</v>
      </c>
      <c r="F172" s="6">
        <v>580.0</v>
      </c>
      <c r="G172" s="6">
        <v>14125.0</v>
      </c>
      <c r="H172" s="6">
        <v>6282.0</v>
      </c>
    </row>
    <row r="173">
      <c r="A173" s="6" t="s">
        <v>11</v>
      </c>
      <c r="B173" s="6">
        <v>30.0</v>
      </c>
      <c r="C173" s="6">
        <v>12002.0</v>
      </c>
      <c r="D173" s="6">
        <v>3328.0</v>
      </c>
      <c r="E173" s="6">
        <v>793.0</v>
      </c>
      <c r="F173" s="6">
        <v>825.0</v>
      </c>
      <c r="G173" s="6">
        <v>4216.0</v>
      </c>
      <c r="H173" s="6">
        <v>6757.0</v>
      </c>
    </row>
    <row r="174">
      <c r="A174" s="6" t="s">
        <v>12</v>
      </c>
      <c r="B174" s="6">
        <v>15.0</v>
      </c>
      <c r="C174" s="6">
        <v>15674.0</v>
      </c>
      <c r="D174" s="6">
        <v>2471.0</v>
      </c>
      <c r="E174" s="6">
        <v>1300.0</v>
      </c>
      <c r="F174" s="6">
        <v>790.0</v>
      </c>
      <c r="G174" s="6">
        <v>3113.0</v>
      </c>
      <c r="H174" s="6">
        <v>2908.0</v>
      </c>
    </row>
    <row r="175">
      <c r="A175" s="6" t="s">
        <v>14</v>
      </c>
      <c r="B175" s="6">
        <v>30.0</v>
      </c>
      <c r="C175" s="6">
        <v>17734.0</v>
      </c>
      <c r="D175" s="6">
        <v>2991.0</v>
      </c>
      <c r="E175" s="6">
        <v>1383.0</v>
      </c>
      <c r="F175" s="6">
        <v>372.0</v>
      </c>
      <c r="G175" s="6">
        <v>11238.0</v>
      </c>
      <c r="H175" s="6">
        <v>840.0</v>
      </c>
    </row>
    <row r="176">
      <c r="A176" s="6" t="s">
        <v>14</v>
      </c>
      <c r="B176" s="6">
        <v>20.0</v>
      </c>
      <c r="C176" s="6">
        <v>15209.0</v>
      </c>
      <c r="D176" s="6">
        <v>3856.0</v>
      </c>
      <c r="E176" s="6">
        <v>147.0</v>
      </c>
      <c r="F176" s="6">
        <v>566.0</v>
      </c>
      <c r="G176" s="6">
        <v>14760.0</v>
      </c>
      <c r="H176" s="6">
        <v>3317.0</v>
      </c>
    </row>
    <row r="177">
      <c r="A177" s="6" t="s">
        <v>12</v>
      </c>
      <c r="B177" s="6">
        <v>30.0</v>
      </c>
      <c r="C177" s="6">
        <v>6331.0</v>
      </c>
      <c r="D177" s="6">
        <v>4325.0</v>
      </c>
      <c r="E177" s="6">
        <v>104.0</v>
      </c>
      <c r="F177" s="6">
        <v>1378.0</v>
      </c>
      <c r="G177" s="6">
        <v>13588.0</v>
      </c>
      <c r="H177" s="6">
        <v>2996.0</v>
      </c>
    </row>
    <row r="178">
      <c r="A178" s="6" t="s">
        <v>13</v>
      </c>
      <c r="B178" s="6">
        <v>25.0</v>
      </c>
      <c r="C178" s="6">
        <v>17536.0</v>
      </c>
      <c r="D178" s="6">
        <v>194.0</v>
      </c>
      <c r="E178" s="6">
        <v>672.0</v>
      </c>
      <c r="F178" s="6">
        <v>1203.0</v>
      </c>
      <c r="G178" s="6">
        <v>4374.0</v>
      </c>
      <c r="H178" s="6">
        <v>6462.0</v>
      </c>
    </row>
    <row r="179">
      <c r="A179" s="6" t="s">
        <v>11</v>
      </c>
      <c r="B179" s="6">
        <v>10.0</v>
      </c>
      <c r="C179" s="6">
        <v>9261.0</v>
      </c>
      <c r="D179" s="6">
        <v>2774.0</v>
      </c>
      <c r="E179" s="6">
        <v>713.0</v>
      </c>
      <c r="F179" s="6">
        <v>365.0</v>
      </c>
      <c r="G179" s="6">
        <v>7430.0</v>
      </c>
      <c r="H179" s="6">
        <v>5799.0</v>
      </c>
    </row>
    <row r="180">
      <c r="A180" s="6" t="s">
        <v>15</v>
      </c>
      <c r="B180" s="6">
        <v>30.0</v>
      </c>
      <c r="C180" s="6">
        <v>12648.0</v>
      </c>
      <c r="D180" s="6">
        <v>2055.0</v>
      </c>
      <c r="E180" s="6">
        <v>807.0</v>
      </c>
      <c r="F180" s="6">
        <v>200.0</v>
      </c>
      <c r="G180" s="6">
        <v>12970.0</v>
      </c>
      <c r="H180" s="6">
        <v>8074.0</v>
      </c>
    </row>
    <row r="181">
      <c r="A181" s="6" t="s">
        <v>11</v>
      </c>
      <c r="B181" s="6">
        <v>30.0</v>
      </c>
      <c r="C181" s="6">
        <v>14550.0</v>
      </c>
      <c r="D181" s="6">
        <v>893.0</v>
      </c>
      <c r="E181" s="6">
        <v>455.0</v>
      </c>
      <c r="F181" s="6">
        <v>431.0</v>
      </c>
      <c r="G181" s="6">
        <v>1629.0</v>
      </c>
      <c r="H181" s="6">
        <v>2189.0</v>
      </c>
    </row>
    <row r="182">
      <c r="A182" s="6" t="s">
        <v>11</v>
      </c>
      <c r="B182" s="6">
        <v>10.0</v>
      </c>
      <c r="C182" s="6">
        <v>10115.0</v>
      </c>
      <c r="D182" s="6">
        <v>1934.0</v>
      </c>
      <c r="E182" s="6">
        <v>118.0</v>
      </c>
      <c r="F182" s="6">
        <v>709.0</v>
      </c>
      <c r="G182" s="6">
        <v>17653.0</v>
      </c>
      <c r="H182" s="6">
        <v>3767.0</v>
      </c>
    </row>
    <row r="183">
      <c r="A183" s="6" t="s">
        <v>13</v>
      </c>
      <c r="B183" s="6">
        <v>25.0</v>
      </c>
      <c r="C183" s="6">
        <v>9637.0</v>
      </c>
      <c r="D183" s="6">
        <v>2216.0</v>
      </c>
      <c r="E183" s="6">
        <v>1385.0</v>
      </c>
      <c r="F183" s="6">
        <v>16.0</v>
      </c>
      <c r="G183" s="6">
        <v>11831.0</v>
      </c>
      <c r="H183" s="6">
        <v>4906.0</v>
      </c>
    </row>
    <row r="184">
      <c r="A184" s="6" t="s">
        <v>11</v>
      </c>
      <c r="B184" s="6">
        <v>15.0</v>
      </c>
      <c r="C184" s="6">
        <v>9854.0</v>
      </c>
      <c r="D184" s="6">
        <v>4206.0</v>
      </c>
      <c r="E184" s="6">
        <v>1362.0</v>
      </c>
      <c r="F184" s="6">
        <v>142.0</v>
      </c>
      <c r="G184" s="6">
        <v>6724.0</v>
      </c>
      <c r="H184" s="6">
        <v>8953.0</v>
      </c>
    </row>
    <row r="185">
      <c r="A185" s="6" t="s">
        <v>12</v>
      </c>
      <c r="B185" s="6">
        <v>30.0</v>
      </c>
      <c r="C185" s="6">
        <v>8177.0</v>
      </c>
      <c r="D185" s="6">
        <v>3425.0</v>
      </c>
      <c r="E185" s="6">
        <v>1835.0</v>
      </c>
      <c r="F185" s="6">
        <v>566.0</v>
      </c>
      <c r="G185" s="6">
        <v>12083.0</v>
      </c>
      <c r="H185" s="6">
        <v>1942.0</v>
      </c>
    </row>
    <row r="186">
      <c r="A186" s="6" t="s">
        <v>12</v>
      </c>
      <c r="B186" s="6">
        <v>10.0</v>
      </c>
      <c r="C186" s="6">
        <v>12730.0</v>
      </c>
      <c r="D186" s="6">
        <v>3019.0</v>
      </c>
      <c r="E186" s="6">
        <v>1621.0</v>
      </c>
      <c r="F186" s="6">
        <v>835.0</v>
      </c>
      <c r="G186" s="6">
        <v>14149.0</v>
      </c>
      <c r="H186" s="6">
        <v>9097.0</v>
      </c>
    </row>
    <row r="187">
      <c r="A187" s="6" t="s">
        <v>14</v>
      </c>
      <c r="B187" s="6">
        <v>20.0</v>
      </c>
      <c r="C187" s="6">
        <v>15320.0</v>
      </c>
      <c r="D187" s="6">
        <v>2697.0</v>
      </c>
      <c r="E187" s="6">
        <v>800.0</v>
      </c>
      <c r="F187" s="6">
        <v>770.0</v>
      </c>
      <c r="G187" s="6">
        <v>10472.0</v>
      </c>
      <c r="H187" s="6">
        <v>4937.0</v>
      </c>
    </row>
    <row r="188">
      <c r="A188" s="6" t="s">
        <v>15</v>
      </c>
      <c r="B188" s="6">
        <v>10.0</v>
      </c>
      <c r="C188" s="6">
        <v>7180.0</v>
      </c>
      <c r="D188" s="6">
        <v>3305.0</v>
      </c>
      <c r="E188" s="6">
        <v>1221.0</v>
      </c>
      <c r="F188" s="6">
        <v>1064.0</v>
      </c>
      <c r="G188" s="6">
        <v>7276.0</v>
      </c>
      <c r="H188" s="6">
        <v>5935.0</v>
      </c>
    </row>
    <row r="189">
      <c r="A189" s="6" t="s">
        <v>11</v>
      </c>
      <c r="B189" s="6">
        <v>20.0</v>
      </c>
      <c r="C189" s="6">
        <v>9892.0</v>
      </c>
      <c r="D189" s="6">
        <v>4907.0</v>
      </c>
      <c r="E189" s="6">
        <v>1540.0</v>
      </c>
      <c r="F189" s="6">
        <v>544.0</v>
      </c>
      <c r="G189" s="6">
        <v>16635.0</v>
      </c>
      <c r="H189" s="6">
        <v>8935.0</v>
      </c>
    </row>
    <row r="190">
      <c r="A190" s="6" t="s">
        <v>11</v>
      </c>
      <c r="B190" s="6">
        <v>25.0</v>
      </c>
      <c r="C190" s="6">
        <v>12043.0</v>
      </c>
      <c r="D190" s="6">
        <v>914.0</v>
      </c>
      <c r="E190" s="6">
        <v>1812.0</v>
      </c>
      <c r="F190" s="6">
        <v>435.0</v>
      </c>
      <c r="G190" s="6">
        <v>6895.0</v>
      </c>
      <c r="H190" s="6">
        <v>4607.0</v>
      </c>
    </row>
    <row r="191">
      <c r="A191" s="6" t="s">
        <v>13</v>
      </c>
      <c r="B191" s="6">
        <v>15.0</v>
      </c>
      <c r="C191" s="6">
        <v>5137.0</v>
      </c>
      <c r="D191" s="6">
        <v>445.0</v>
      </c>
      <c r="E191" s="6">
        <v>1317.0</v>
      </c>
      <c r="F191" s="6">
        <v>1427.0</v>
      </c>
      <c r="G191" s="6">
        <v>14994.0</v>
      </c>
      <c r="H191" s="6">
        <v>1060.0</v>
      </c>
    </row>
    <row r="192">
      <c r="A192" s="6" t="s">
        <v>12</v>
      </c>
      <c r="B192" s="6">
        <v>10.0</v>
      </c>
      <c r="C192" s="6">
        <v>11327.0</v>
      </c>
      <c r="D192" s="6">
        <v>2449.0</v>
      </c>
      <c r="E192" s="6">
        <v>1564.0</v>
      </c>
      <c r="F192" s="6">
        <v>681.0</v>
      </c>
      <c r="G192" s="6">
        <v>11552.0</v>
      </c>
      <c r="H192" s="6">
        <v>9285.0</v>
      </c>
    </row>
    <row r="193">
      <c r="A193" s="6" t="s">
        <v>15</v>
      </c>
      <c r="B193" s="6">
        <v>30.0</v>
      </c>
      <c r="C193" s="6">
        <v>8472.0</v>
      </c>
      <c r="D193" s="6">
        <v>462.0</v>
      </c>
      <c r="E193" s="6">
        <v>1922.0</v>
      </c>
      <c r="F193" s="6">
        <v>372.0</v>
      </c>
      <c r="G193" s="6">
        <v>17959.0</v>
      </c>
      <c r="H193" s="6">
        <v>6048.0</v>
      </c>
    </row>
    <row r="194">
      <c r="A194" s="6" t="s">
        <v>14</v>
      </c>
      <c r="B194" s="6">
        <v>25.0</v>
      </c>
      <c r="C194" s="6">
        <v>10449.0</v>
      </c>
      <c r="D194" s="6">
        <v>2543.0</v>
      </c>
      <c r="E194" s="6">
        <v>1007.0</v>
      </c>
      <c r="F194" s="6">
        <v>1470.0</v>
      </c>
      <c r="G194" s="6">
        <v>7099.0</v>
      </c>
      <c r="H194" s="6">
        <v>2326.0</v>
      </c>
    </row>
    <row r="195">
      <c r="A195" s="6" t="s">
        <v>12</v>
      </c>
      <c r="B195" s="6">
        <v>10.0</v>
      </c>
      <c r="C195" s="6">
        <v>7832.0</v>
      </c>
      <c r="D195" s="6">
        <v>2365.0</v>
      </c>
      <c r="E195" s="6">
        <v>1580.0</v>
      </c>
      <c r="F195" s="6">
        <v>91.0</v>
      </c>
      <c r="G195" s="6">
        <v>10499.0</v>
      </c>
      <c r="H195" s="6">
        <v>8129.0</v>
      </c>
    </row>
    <row r="196">
      <c r="A196" s="6" t="s">
        <v>14</v>
      </c>
      <c r="B196" s="6">
        <v>30.0</v>
      </c>
      <c r="C196" s="6">
        <v>8579.0</v>
      </c>
      <c r="D196" s="6">
        <v>2288.0</v>
      </c>
      <c r="E196" s="6">
        <v>414.0</v>
      </c>
      <c r="F196" s="6">
        <v>365.0</v>
      </c>
      <c r="G196" s="6">
        <v>4178.0</v>
      </c>
      <c r="H196" s="6">
        <v>8825.0</v>
      </c>
    </row>
    <row r="197">
      <c r="A197" s="6" t="s">
        <v>13</v>
      </c>
      <c r="B197" s="6">
        <v>10.0</v>
      </c>
      <c r="C197" s="6">
        <v>10971.0</v>
      </c>
      <c r="D197" s="6">
        <v>3105.0</v>
      </c>
      <c r="E197" s="6">
        <v>531.0</v>
      </c>
      <c r="F197" s="6">
        <v>1291.0</v>
      </c>
      <c r="G197" s="6">
        <v>7116.0</v>
      </c>
      <c r="H197" s="6">
        <v>3638.0</v>
      </c>
    </row>
    <row r="198">
      <c r="A198" s="6" t="s">
        <v>13</v>
      </c>
      <c r="B198" s="6">
        <v>20.0</v>
      </c>
      <c r="C198" s="6">
        <v>16223.0</v>
      </c>
      <c r="D198" s="6">
        <v>3381.0</v>
      </c>
      <c r="E198" s="6">
        <v>250.0</v>
      </c>
      <c r="F198" s="6">
        <v>598.0</v>
      </c>
      <c r="G198" s="6">
        <v>16563.0</v>
      </c>
      <c r="H198" s="6">
        <v>8193.0</v>
      </c>
    </row>
    <row r="199">
      <c r="A199" s="6" t="s">
        <v>11</v>
      </c>
      <c r="B199" s="6">
        <v>10.0</v>
      </c>
      <c r="C199" s="6">
        <v>9164.0</v>
      </c>
      <c r="D199" s="6">
        <v>1084.0</v>
      </c>
      <c r="E199" s="6">
        <v>203.0</v>
      </c>
      <c r="F199" s="6">
        <v>304.0</v>
      </c>
      <c r="G199" s="6">
        <v>4568.0</v>
      </c>
      <c r="H199" s="6">
        <v>8764.0</v>
      </c>
    </row>
    <row r="200">
      <c r="A200" s="6" t="s">
        <v>15</v>
      </c>
      <c r="B200" s="6">
        <v>10.0</v>
      </c>
      <c r="C200" s="6">
        <v>15785.0</v>
      </c>
      <c r="D200" s="6">
        <v>1739.0</v>
      </c>
      <c r="E200" s="6">
        <v>1523.0</v>
      </c>
      <c r="F200" s="6">
        <v>1257.0</v>
      </c>
      <c r="G200" s="6">
        <v>10847.0</v>
      </c>
      <c r="H200" s="6">
        <v>8342.0</v>
      </c>
    </row>
    <row r="201">
      <c r="A201" s="6" t="s">
        <v>14</v>
      </c>
      <c r="B201" s="6">
        <v>10.0</v>
      </c>
      <c r="C201" s="6">
        <v>12941.0</v>
      </c>
      <c r="D201" s="6">
        <v>927.0</v>
      </c>
      <c r="E201" s="6">
        <v>1574.0</v>
      </c>
      <c r="F201" s="6">
        <v>1079.0</v>
      </c>
      <c r="G201" s="6">
        <v>15135.0</v>
      </c>
      <c r="H201" s="6">
        <v>7221.0</v>
      </c>
    </row>
    <row r="202">
      <c r="A202" s="6" t="s">
        <v>12</v>
      </c>
      <c r="B202" s="6">
        <v>25.0</v>
      </c>
      <c r="C202" s="6">
        <v>19388.0</v>
      </c>
      <c r="D202" s="6">
        <v>2830.0</v>
      </c>
      <c r="E202" s="6">
        <v>122.0</v>
      </c>
      <c r="F202" s="6">
        <v>1146.0</v>
      </c>
      <c r="G202" s="6">
        <v>19587.0</v>
      </c>
      <c r="H202" s="6">
        <v>7502.0</v>
      </c>
    </row>
    <row r="203">
      <c r="A203" s="6" t="s">
        <v>13</v>
      </c>
      <c r="B203" s="6">
        <v>10.0</v>
      </c>
      <c r="C203" s="6">
        <v>10569.0</v>
      </c>
      <c r="D203" s="6">
        <v>3631.0</v>
      </c>
      <c r="E203" s="6">
        <v>762.0</v>
      </c>
      <c r="F203" s="6">
        <v>1266.0</v>
      </c>
      <c r="G203" s="6">
        <v>18774.0</v>
      </c>
      <c r="H203" s="6">
        <v>4725.0</v>
      </c>
    </row>
    <row r="204">
      <c r="A204" s="6" t="s">
        <v>11</v>
      </c>
      <c r="B204" s="6">
        <v>30.0</v>
      </c>
      <c r="C204" s="6">
        <v>9300.0</v>
      </c>
      <c r="D204" s="6">
        <v>4551.0</v>
      </c>
      <c r="E204" s="6">
        <v>345.0</v>
      </c>
      <c r="F204" s="6">
        <v>26.0</v>
      </c>
      <c r="G204" s="6">
        <v>2742.0</v>
      </c>
      <c r="H204" s="6">
        <v>3478.0</v>
      </c>
    </row>
    <row r="205">
      <c r="A205" s="6" t="s">
        <v>11</v>
      </c>
      <c r="B205" s="6">
        <v>20.0</v>
      </c>
      <c r="C205" s="6">
        <v>11269.0</v>
      </c>
      <c r="D205" s="6">
        <v>3035.0</v>
      </c>
      <c r="E205" s="6">
        <v>1090.0</v>
      </c>
      <c r="F205" s="6">
        <v>369.0</v>
      </c>
      <c r="G205" s="6">
        <v>19309.0</v>
      </c>
      <c r="H205" s="6">
        <v>7873.0</v>
      </c>
    </row>
    <row r="206">
      <c r="A206" s="6" t="s">
        <v>14</v>
      </c>
      <c r="B206" s="6">
        <v>20.0</v>
      </c>
      <c r="C206" s="6">
        <v>8818.0</v>
      </c>
      <c r="D206" s="6">
        <v>3976.0</v>
      </c>
      <c r="E206" s="6">
        <v>1714.0</v>
      </c>
      <c r="F206" s="6">
        <v>1256.0</v>
      </c>
      <c r="G206" s="6">
        <v>1619.0</v>
      </c>
      <c r="H206" s="6">
        <v>6407.0</v>
      </c>
    </row>
    <row r="207">
      <c r="A207" s="6" t="s">
        <v>13</v>
      </c>
      <c r="B207" s="6">
        <v>10.0</v>
      </c>
      <c r="C207" s="6">
        <v>17330.0</v>
      </c>
      <c r="D207" s="6">
        <v>226.0</v>
      </c>
      <c r="E207" s="6">
        <v>1290.0</v>
      </c>
      <c r="F207" s="6">
        <v>875.0</v>
      </c>
      <c r="G207" s="6">
        <v>18658.0</v>
      </c>
      <c r="H207" s="6">
        <v>6597.0</v>
      </c>
    </row>
    <row r="208">
      <c r="A208" s="6" t="s">
        <v>15</v>
      </c>
      <c r="B208" s="6">
        <v>25.0</v>
      </c>
      <c r="C208" s="6">
        <v>17015.0</v>
      </c>
      <c r="D208" s="6">
        <v>3277.0</v>
      </c>
      <c r="E208" s="6">
        <v>110.0</v>
      </c>
      <c r="F208" s="6">
        <v>709.0</v>
      </c>
      <c r="G208" s="6">
        <v>18340.0</v>
      </c>
      <c r="H208" s="6">
        <v>6156.0</v>
      </c>
    </row>
    <row r="209">
      <c r="A209" s="6" t="s">
        <v>13</v>
      </c>
      <c r="B209" s="6">
        <v>25.0</v>
      </c>
      <c r="C209" s="6">
        <v>17234.0</v>
      </c>
      <c r="D209" s="6">
        <v>3156.0</v>
      </c>
      <c r="E209" s="6">
        <v>988.0</v>
      </c>
      <c r="F209" s="6">
        <v>457.0</v>
      </c>
      <c r="G209" s="6">
        <v>2939.0</v>
      </c>
      <c r="H209" s="6">
        <v>9484.0</v>
      </c>
    </row>
    <row r="210">
      <c r="A210" s="6" t="s">
        <v>14</v>
      </c>
      <c r="B210" s="6">
        <v>30.0</v>
      </c>
      <c r="C210" s="6">
        <v>6906.0</v>
      </c>
      <c r="D210" s="6">
        <v>703.0</v>
      </c>
      <c r="E210" s="6">
        <v>1689.0</v>
      </c>
      <c r="F210" s="6">
        <v>865.0</v>
      </c>
      <c r="G210" s="6">
        <v>17001.0</v>
      </c>
      <c r="H210" s="6">
        <v>4759.0</v>
      </c>
    </row>
    <row r="211">
      <c r="A211" s="6" t="s">
        <v>14</v>
      </c>
      <c r="B211" s="6">
        <v>10.0</v>
      </c>
      <c r="C211" s="6">
        <v>11254.0</v>
      </c>
      <c r="D211" s="6">
        <v>3549.0</v>
      </c>
      <c r="E211" s="6">
        <v>91.0</v>
      </c>
      <c r="F211" s="6">
        <v>374.0</v>
      </c>
      <c r="G211" s="6">
        <v>1968.0</v>
      </c>
      <c r="H211" s="6">
        <v>8786.0</v>
      </c>
    </row>
    <row r="212">
      <c r="A212" s="6" t="s">
        <v>13</v>
      </c>
      <c r="B212" s="6">
        <v>20.0</v>
      </c>
      <c r="C212" s="6">
        <v>5760.0</v>
      </c>
      <c r="D212" s="6">
        <v>4246.0</v>
      </c>
      <c r="E212" s="6">
        <v>74.0</v>
      </c>
      <c r="F212" s="6">
        <v>684.0</v>
      </c>
      <c r="G212" s="6">
        <v>15846.0</v>
      </c>
      <c r="H212" s="6">
        <v>6401.0</v>
      </c>
    </row>
    <row r="213">
      <c r="A213" s="6" t="s">
        <v>14</v>
      </c>
      <c r="B213" s="6">
        <v>25.0</v>
      </c>
      <c r="C213" s="6">
        <v>12830.0</v>
      </c>
      <c r="D213" s="6">
        <v>3633.0</v>
      </c>
      <c r="E213" s="6">
        <v>1112.0</v>
      </c>
      <c r="F213" s="6">
        <v>1017.0</v>
      </c>
      <c r="G213" s="6">
        <v>1281.0</v>
      </c>
      <c r="H213" s="6">
        <v>9825.0</v>
      </c>
    </row>
    <row r="214">
      <c r="A214" s="6" t="s">
        <v>13</v>
      </c>
      <c r="B214" s="6">
        <v>10.0</v>
      </c>
      <c r="C214" s="6">
        <v>12350.0</v>
      </c>
      <c r="D214" s="6">
        <v>3467.0</v>
      </c>
      <c r="E214" s="6">
        <v>1876.0</v>
      </c>
      <c r="F214" s="6">
        <v>1359.0</v>
      </c>
      <c r="G214" s="6">
        <v>16360.0</v>
      </c>
      <c r="H214" s="6">
        <v>5417.0</v>
      </c>
    </row>
    <row r="215">
      <c r="A215" s="6" t="s">
        <v>12</v>
      </c>
      <c r="B215" s="6">
        <v>25.0</v>
      </c>
      <c r="C215" s="6">
        <v>11238.0</v>
      </c>
      <c r="D215" s="6">
        <v>3468.0</v>
      </c>
      <c r="E215" s="6">
        <v>180.0</v>
      </c>
      <c r="F215" s="6">
        <v>476.0</v>
      </c>
      <c r="G215" s="6">
        <v>7262.0</v>
      </c>
      <c r="H215" s="6">
        <v>8929.0</v>
      </c>
    </row>
    <row r="216">
      <c r="A216" s="6" t="s">
        <v>13</v>
      </c>
      <c r="B216" s="6">
        <v>25.0</v>
      </c>
      <c r="C216" s="6">
        <v>11090.0</v>
      </c>
      <c r="D216" s="6">
        <v>3897.0</v>
      </c>
      <c r="E216" s="6">
        <v>1571.0</v>
      </c>
      <c r="F216" s="6">
        <v>423.0</v>
      </c>
      <c r="G216" s="6">
        <v>2058.0</v>
      </c>
      <c r="H216" s="6">
        <v>3030.0</v>
      </c>
    </row>
    <row r="217">
      <c r="A217" s="6" t="s">
        <v>13</v>
      </c>
      <c r="B217" s="6">
        <v>20.0</v>
      </c>
      <c r="C217" s="6">
        <v>16637.0</v>
      </c>
      <c r="D217" s="6">
        <v>1892.0</v>
      </c>
      <c r="E217" s="6">
        <v>1302.0</v>
      </c>
      <c r="F217" s="6">
        <v>1488.0</v>
      </c>
      <c r="G217" s="6">
        <v>11724.0</v>
      </c>
      <c r="H217" s="6">
        <v>2460.0</v>
      </c>
    </row>
    <row r="218">
      <c r="A218" s="6" t="s">
        <v>14</v>
      </c>
      <c r="B218" s="6">
        <v>15.0</v>
      </c>
      <c r="C218" s="6">
        <v>11031.0</v>
      </c>
      <c r="D218" s="6">
        <v>2961.0</v>
      </c>
      <c r="E218" s="6">
        <v>157.0</v>
      </c>
      <c r="F218" s="6">
        <v>595.0</v>
      </c>
      <c r="G218" s="6">
        <v>6178.0</v>
      </c>
      <c r="H218" s="6">
        <v>7545.0</v>
      </c>
    </row>
    <row r="219">
      <c r="A219" s="6" t="s">
        <v>14</v>
      </c>
      <c r="B219" s="6">
        <v>30.0</v>
      </c>
      <c r="C219" s="6">
        <v>12687.0</v>
      </c>
      <c r="D219" s="6">
        <v>3576.0</v>
      </c>
      <c r="E219" s="6">
        <v>221.0</v>
      </c>
      <c r="F219" s="6">
        <v>1266.0</v>
      </c>
      <c r="G219" s="6">
        <v>7980.0</v>
      </c>
      <c r="H219" s="6">
        <v>1548.0</v>
      </c>
    </row>
    <row r="220">
      <c r="A220" s="6" t="s">
        <v>11</v>
      </c>
      <c r="B220" s="6">
        <v>30.0</v>
      </c>
      <c r="C220" s="6">
        <v>14091.0</v>
      </c>
      <c r="D220" s="6">
        <v>3517.0</v>
      </c>
      <c r="E220" s="6">
        <v>1508.0</v>
      </c>
      <c r="F220" s="6">
        <v>1257.0</v>
      </c>
      <c r="G220" s="6">
        <v>10200.0</v>
      </c>
      <c r="H220" s="6">
        <v>6272.0</v>
      </c>
    </row>
    <row r="221">
      <c r="A221" s="6" t="s">
        <v>11</v>
      </c>
      <c r="B221" s="6">
        <v>20.0</v>
      </c>
      <c r="C221" s="6">
        <v>17647.0</v>
      </c>
      <c r="D221" s="6">
        <v>1745.0</v>
      </c>
      <c r="E221" s="6">
        <v>1551.0</v>
      </c>
      <c r="F221" s="6">
        <v>1003.0</v>
      </c>
      <c r="G221" s="6">
        <v>2229.0</v>
      </c>
      <c r="H221" s="6">
        <v>3029.0</v>
      </c>
    </row>
    <row r="222">
      <c r="A222" s="6" t="s">
        <v>12</v>
      </c>
      <c r="B222" s="6">
        <v>25.0</v>
      </c>
      <c r="C222" s="6">
        <v>16139.0</v>
      </c>
      <c r="D222" s="6">
        <v>1305.0</v>
      </c>
      <c r="E222" s="6">
        <v>151.0</v>
      </c>
      <c r="F222" s="6">
        <v>1445.0</v>
      </c>
      <c r="G222" s="6">
        <v>9467.0</v>
      </c>
      <c r="H222" s="6">
        <v>3464.0</v>
      </c>
    </row>
    <row r="223">
      <c r="A223" s="6" t="s">
        <v>11</v>
      </c>
      <c r="B223" s="6">
        <v>10.0</v>
      </c>
      <c r="C223" s="6">
        <v>14911.0</v>
      </c>
      <c r="D223" s="6">
        <v>3130.0</v>
      </c>
      <c r="E223" s="6">
        <v>915.0</v>
      </c>
      <c r="F223" s="6">
        <v>581.0</v>
      </c>
      <c r="G223" s="6">
        <v>3289.0</v>
      </c>
      <c r="H223" s="6">
        <v>7637.0</v>
      </c>
    </row>
    <row r="224">
      <c r="A224" s="6" t="s">
        <v>13</v>
      </c>
      <c r="B224" s="6">
        <v>25.0</v>
      </c>
      <c r="C224" s="6">
        <v>13472.0</v>
      </c>
      <c r="D224" s="6">
        <v>2972.0</v>
      </c>
      <c r="E224" s="6">
        <v>573.0</v>
      </c>
      <c r="F224" s="6">
        <v>344.0</v>
      </c>
      <c r="G224" s="6">
        <v>2239.0</v>
      </c>
      <c r="H224" s="6">
        <v>1463.0</v>
      </c>
    </row>
    <row r="225">
      <c r="A225" s="6" t="s">
        <v>14</v>
      </c>
      <c r="B225" s="6">
        <v>20.0</v>
      </c>
      <c r="C225" s="6">
        <v>16458.0</v>
      </c>
      <c r="D225" s="6">
        <v>3172.0</v>
      </c>
      <c r="E225" s="6">
        <v>324.0</v>
      </c>
      <c r="F225" s="6">
        <v>1255.0</v>
      </c>
      <c r="G225" s="6">
        <v>6370.0</v>
      </c>
      <c r="H225" s="6">
        <v>1036.0</v>
      </c>
    </row>
    <row r="226">
      <c r="A226" s="6" t="s">
        <v>11</v>
      </c>
      <c r="B226" s="6">
        <v>30.0</v>
      </c>
      <c r="C226" s="6">
        <v>6887.0</v>
      </c>
      <c r="D226" s="6">
        <v>1954.0</v>
      </c>
      <c r="E226" s="6">
        <v>1686.0</v>
      </c>
      <c r="F226" s="6">
        <v>46.0</v>
      </c>
      <c r="G226" s="6">
        <v>17170.0</v>
      </c>
      <c r="H226" s="6">
        <v>7840.0</v>
      </c>
    </row>
    <row r="227">
      <c r="A227" s="6" t="s">
        <v>11</v>
      </c>
      <c r="B227" s="6">
        <v>25.0</v>
      </c>
      <c r="C227" s="6">
        <v>8266.0</v>
      </c>
      <c r="D227" s="6">
        <v>4121.0</v>
      </c>
      <c r="E227" s="6">
        <v>1117.0</v>
      </c>
      <c r="F227" s="6">
        <v>998.0</v>
      </c>
      <c r="G227" s="6">
        <v>1125.0</v>
      </c>
      <c r="H227" s="6">
        <v>7679.0</v>
      </c>
    </row>
    <row r="228">
      <c r="A228" s="6" t="s">
        <v>12</v>
      </c>
      <c r="B228" s="6">
        <v>30.0</v>
      </c>
      <c r="C228" s="6">
        <v>5666.0</v>
      </c>
      <c r="D228" s="6">
        <v>4762.0</v>
      </c>
      <c r="E228" s="6">
        <v>866.0</v>
      </c>
      <c r="F228" s="6">
        <v>287.0</v>
      </c>
      <c r="G228" s="6">
        <v>13504.0</v>
      </c>
      <c r="H228" s="6">
        <v>8467.0</v>
      </c>
    </row>
    <row r="229">
      <c r="A229" s="6" t="s">
        <v>12</v>
      </c>
      <c r="B229" s="6">
        <v>10.0</v>
      </c>
      <c r="C229" s="6">
        <v>9188.0</v>
      </c>
      <c r="D229" s="6">
        <v>2808.0</v>
      </c>
      <c r="E229" s="6">
        <v>1006.0</v>
      </c>
      <c r="F229" s="6">
        <v>1229.0</v>
      </c>
      <c r="G229" s="6">
        <v>16398.0</v>
      </c>
      <c r="H229" s="6">
        <v>9234.0</v>
      </c>
    </row>
    <row r="230">
      <c r="A230" s="6" t="s">
        <v>13</v>
      </c>
      <c r="B230" s="6">
        <v>30.0</v>
      </c>
      <c r="C230" s="6">
        <v>5671.0</v>
      </c>
      <c r="D230" s="6">
        <v>3602.0</v>
      </c>
      <c r="E230" s="6">
        <v>1090.0</v>
      </c>
      <c r="F230" s="6">
        <v>925.0</v>
      </c>
      <c r="G230" s="6">
        <v>7638.0</v>
      </c>
      <c r="H230" s="6">
        <v>1345.0</v>
      </c>
    </row>
    <row r="231">
      <c r="A231" s="6" t="s">
        <v>14</v>
      </c>
      <c r="B231" s="6">
        <v>30.0</v>
      </c>
      <c r="C231" s="6">
        <v>15161.0</v>
      </c>
      <c r="D231" s="6">
        <v>1432.0</v>
      </c>
      <c r="E231" s="6">
        <v>379.0</v>
      </c>
      <c r="F231" s="6">
        <v>493.0</v>
      </c>
      <c r="G231" s="6">
        <v>7570.0</v>
      </c>
      <c r="H231" s="6">
        <v>6277.0</v>
      </c>
    </row>
    <row r="232">
      <c r="A232" s="6" t="s">
        <v>12</v>
      </c>
      <c r="B232" s="6">
        <v>15.0</v>
      </c>
      <c r="C232" s="6">
        <v>17348.0</v>
      </c>
      <c r="D232" s="6">
        <v>301.0</v>
      </c>
      <c r="E232" s="6">
        <v>1642.0</v>
      </c>
      <c r="F232" s="6">
        <v>1275.0</v>
      </c>
      <c r="G232" s="6">
        <v>4249.0</v>
      </c>
      <c r="H232" s="6">
        <v>3536.0</v>
      </c>
    </row>
    <row r="233">
      <c r="A233" s="6" t="s">
        <v>11</v>
      </c>
      <c r="B233" s="6">
        <v>15.0</v>
      </c>
      <c r="C233" s="6">
        <v>11777.0</v>
      </c>
      <c r="D233" s="6">
        <v>3607.0</v>
      </c>
      <c r="E233" s="6">
        <v>1896.0</v>
      </c>
      <c r="F233" s="6">
        <v>1357.0</v>
      </c>
      <c r="G233" s="6">
        <v>10110.0</v>
      </c>
      <c r="H233" s="6">
        <v>6447.0</v>
      </c>
    </row>
    <row r="234">
      <c r="A234" s="6" t="s">
        <v>14</v>
      </c>
      <c r="B234" s="6">
        <v>15.0</v>
      </c>
      <c r="C234" s="6">
        <v>16314.0</v>
      </c>
      <c r="D234" s="6">
        <v>4312.0</v>
      </c>
      <c r="E234" s="6">
        <v>1570.0</v>
      </c>
      <c r="F234" s="6">
        <v>740.0</v>
      </c>
      <c r="G234" s="6">
        <v>8595.0</v>
      </c>
      <c r="H234" s="6">
        <v>2994.0</v>
      </c>
    </row>
    <row r="235">
      <c r="A235" s="6" t="s">
        <v>14</v>
      </c>
      <c r="B235" s="6">
        <v>30.0</v>
      </c>
      <c r="C235" s="6">
        <v>12570.0</v>
      </c>
      <c r="D235" s="6">
        <v>674.0</v>
      </c>
      <c r="E235" s="6">
        <v>1888.0</v>
      </c>
      <c r="F235" s="6">
        <v>201.0</v>
      </c>
      <c r="G235" s="6">
        <v>14605.0</v>
      </c>
      <c r="H235" s="6">
        <v>3219.0</v>
      </c>
    </row>
    <row r="236">
      <c r="A236" s="6" t="s">
        <v>11</v>
      </c>
      <c r="B236" s="6">
        <v>20.0</v>
      </c>
      <c r="C236" s="6">
        <v>12956.0</v>
      </c>
      <c r="D236" s="6">
        <v>636.0</v>
      </c>
      <c r="E236" s="6">
        <v>61.0</v>
      </c>
      <c r="F236" s="6">
        <v>1050.0</v>
      </c>
      <c r="G236" s="6">
        <v>13115.0</v>
      </c>
      <c r="H236" s="6">
        <v>2384.0</v>
      </c>
    </row>
    <row r="237">
      <c r="A237" s="6" t="s">
        <v>12</v>
      </c>
      <c r="B237" s="6">
        <v>30.0</v>
      </c>
      <c r="C237" s="6">
        <v>10124.0</v>
      </c>
      <c r="D237" s="6">
        <v>1725.0</v>
      </c>
      <c r="E237" s="6">
        <v>1391.0</v>
      </c>
      <c r="F237" s="6">
        <v>533.0</v>
      </c>
      <c r="G237" s="6">
        <v>7294.0</v>
      </c>
      <c r="H237" s="6">
        <v>4849.0</v>
      </c>
    </row>
    <row r="238">
      <c r="A238" s="6" t="s">
        <v>11</v>
      </c>
      <c r="B238" s="6">
        <v>20.0</v>
      </c>
      <c r="C238" s="6">
        <v>10585.0</v>
      </c>
      <c r="D238" s="6">
        <v>2222.0</v>
      </c>
      <c r="E238" s="6">
        <v>1665.0</v>
      </c>
      <c r="F238" s="6">
        <v>927.0</v>
      </c>
      <c r="G238" s="6">
        <v>6757.0</v>
      </c>
      <c r="H238" s="6">
        <v>5679.0</v>
      </c>
    </row>
    <row r="239">
      <c r="A239" s="6" t="s">
        <v>14</v>
      </c>
      <c r="B239" s="6">
        <v>20.0</v>
      </c>
      <c r="C239" s="6">
        <v>17891.0</v>
      </c>
      <c r="D239" s="6">
        <v>485.0</v>
      </c>
      <c r="E239" s="6">
        <v>265.0</v>
      </c>
      <c r="F239" s="6">
        <v>410.0</v>
      </c>
      <c r="G239" s="6">
        <v>13595.0</v>
      </c>
      <c r="H239" s="6">
        <v>7110.0</v>
      </c>
    </row>
    <row r="240">
      <c r="A240" s="6" t="s">
        <v>15</v>
      </c>
      <c r="B240" s="6">
        <v>15.0</v>
      </c>
      <c r="C240" s="6">
        <v>9777.0</v>
      </c>
      <c r="D240" s="6">
        <v>3381.0</v>
      </c>
      <c r="E240" s="6">
        <v>388.0</v>
      </c>
      <c r="F240" s="6">
        <v>895.0</v>
      </c>
      <c r="G240" s="6">
        <v>2969.0</v>
      </c>
      <c r="H240" s="6">
        <v>6930.0</v>
      </c>
    </row>
    <row r="241">
      <c r="A241" s="6" t="s">
        <v>15</v>
      </c>
      <c r="B241" s="6">
        <v>25.0</v>
      </c>
      <c r="C241" s="6">
        <v>8900.0</v>
      </c>
      <c r="D241" s="6">
        <v>574.0</v>
      </c>
      <c r="E241" s="6">
        <v>1849.0</v>
      </c>
      <c r="F241" s="6">
        <v>714.0</v>
      </c>
      <c r="G241" s="6">
        <v>11985.0</v>
      </c>
      <c r="H241" s="6">
        <v>7654.0</v>
      </c>
    </row>
    <row r="242">
      <c r="A242" s="6" t="s">
        <v>13</v>
      </c>
      <c r="B242" s="6">
        <v>10.0</v>
      </c>
      <c r="C242" s="6">
        <v>11677.0</v>
      </c>
      <c r="D242" s="6">
        <v>517.0</v>
      </c>
      <c r="E242" s="6">
        <v>710.0</v>
      </c>
      <c r="F242" s="6">
        <v>31.0</v>
      </c>
      <c r="G242" s="6">
        <v>18275.0</v>
      </c>
      <c r="H242" s="6">
        <v>6988.0</v>
      </c>
    </row>
    <row r="243">
      <c r="A243" s="6" t="s">
        <v>11</v>
      </c>
      <c r="B243" s="6">
        <v>15.0</v>
      </c>
      <c r="C243" s="6">
        <v>18716.0</v>
      </c>
      <c r="D243" s="6">
        <v>3700.0</v>
      </c>
      <c r="E243" s="6">
        <v>1154.0</v>
      </c>
      <c r="F243" s="6">
        <v>483.0</v>
      </c>
      <c r="G243" s="6">
        <v>5470.0</v>
      </c>
      <c r="H243" s="6">
        <v>5237.0</v>
      </c>
    </row>
    <row r="244">
      <c r="A244" s="6" t="s">
        <v>11</v>
      </c>
      <c r="B244" s="6">
        <v>15.0</v>
      </c>
      <c r="C244" s="6">
        <v>11981.0</v>
      </c>
      <c r="D244" s="6">
        <v>1054.0</v>
      </c>
      <c r="E244" s="6">
        <v>1800.0</v>
      </c>
      <c r="F244" s="6">
        <v>1153.0</v>
      </c>
      <c r="G244" s="6">
        <v>11225.0</v>
      </c>
      <c r="H244" s="6">
        <v>7025.0</v>
      </c>
    </row>
    <row r="245">
      <c r="A245" s="6" t="s">
        <v>13</v>
      </c>
      <c r="B245" s="6">
        <v>25.0</v>
      </c>
      <c r="C245" s="6">
        <v>19980.0</v>
      </c>
      <c r="D245" s="6">
        <v>4958.0</v>
      </c>
      <c r="E245" s="6">
        <v>1558.0</v>
      </c>
      <c r="F245" s="6">
        <v>219.0</v>
      </c>
      <c r="G245" s="6">
        <v>10556.0</v>
      </c>
      <c r="H245" s="6">
        <v>4350.0</v>
      </c>
    </row>
    <row r="246">
      <c r="A246" s="6" t="s">
        <v>13</v>
      </c>
      <c r="B246" s="6">
        <v>10.0</v>
      </c>
      <c r="C246" s="6">
        <v>11376.0</v>
      </c>
      <c r="D246" s="6">
        <v>1305.0</v>
      </c>
      <c r="E246" s="6">
        <v>423.0</v>
      </c>
      <c r="F246" s="6">
        <v>315.0</v>
      </c>
      <c r="G246" s="6">
        <v>10206.0</v>
      </c>
      <c r="H246" s="6">
        <v>1189.0</v>
      </c>
    </row>
    <row r="247">
      <c r="A247" s="6" t="s">
        <v>13</v>
      </c>
      <c r="B247" s="6">
        <v>30.0</v>
      </c>
      <c r="C247" s="6">
        <v>5523.0</v>
      </c>
      <c r="D247" s="6">
        <v>4859.0</v>
      </c>
      <c r="E247" s="6">
        <v>1025.0</v>
      </c>
      <c r="F247" s="6">
        <v>1303.0</v>
      </c>
      <c r="G247" s="6">
        <v>10991.0</v>
      </c>
      <c r="H247" s="6">
        <v>5675.0</v>
      </c>
    </row>
    <row r="248">
      <c r="A248" s="6" t="s">
        <v>14</v>
      </c>
      <c r="B248" s="6">
        <v>30.0</v>
      </c>
      <c r="C248" s="6">
        <v>7393.0</v>
      </c>
      <c r="D248" s="6">
        <v>4220.0</v>
      </c>
      <c r="E248" s="6">
        <v>759.0</v>
      </c>
      <c r="F248" s="6">
        <v>713.0</v>
      </c>
      <c r="G248" s="6">
        <v>8519.0</v>
      </c>
      <c r="H248" s="6">
        <v>9148.0</v>
      </c>
    </row>
    <row r="249">
      <c r="A249" s="6" t="s">
        <v>11</v>
      </c>
      <c r="B249" s="6">
        <v>15.0</v>
      </c>
      <c r="C249" s="6">
        <v>16309.0</v>
      </c>
      <c r="D249" s="6">
        <v>2090.0</v>
      </c>
      <c r="E249" s="6">
        <v>1273.0</v>
      </c>
      <c r="F249" s="6">
        <v>696.0</v>
      </c>
      <c r="G249" s="6">
        <v>14669.0</v>
      </c>
      <c r="H249" s="6">
        <v>5578.0</v>
      </c>
    </row>
    <row r="250">
      <c r="A250" s="6" t="s">
        <v>14</v>
      </c>
      <c r="B250" s="6">
        <v>10.0</v>
      </c>
      <c r="C250" s="6">
        <v>7593.0</v>
      </c>
      <c r="D250" s="6">
        <v>4905.0</v>
      </c>
      <c r="E250" s="6">
        <v>1610.0</v>
      </c>
      <c r="F250" s="6">
        <v>294.0</v>
      </c>
      <c r="G250" s="6">
        <v>5612.0</v>
      </c>
      <c r="H250" s="6">
        <v>5948.0</v>
      </c>
    </row>
    <row r="251">
      <c r="A251" s="6" t="s">
        <v>13</v>
      </c>
      <c r="B251" s="6">
        <v>15.0</v>
      </c>
      <c r="C251" s="6">
        <v>15160.0</v>
      </c>
      <c r="D251" s="6">
        <v>3672.0</v>
      </c>
      <c r="E251" s="6">
        <v>515.0</v>
      </c>
      <c r="F251" s="6">
        <v>725.0</v>
      </c>
      <c r="G251" s="6">
        <v>13373.0</v>
      </c>
      <c r="H251" s="6">
        <v>1679.0</v>
      </c>
    </row>
    <row r="252">
      <c r="A252" s="6" t="s">
        <v>11</v>
      </c>
      <c r="B252" s="6">
        <v>20.0</v>
      </c>
      <c r="C252" s="6">
        <v>18389.0</v>
      </c>
      <c r="D252" s="6">
        <v>4480.0</v>
      </c>
      <c r="E252" s="6">
        <v>1162.0</v>
      </c>
      <c r="F252" s="6">
        <v>772.0</v>
      </c>
      <c r="G252" s="6">
        <v>18582.0</v>
      </c>
      <c r="H252" s="6">
        <v>9574.0</v>
      </c>
    </row>
    <row r="253">
      <c r="A253" s="6" t="s">
        <v>14</v>
      </c>
      <c r="B253" s="6">
        <v>15.0</v>
      </c>
      <c r="C253" s="6">
        <v>14945.0</v>
      </c>
      <c r="D253" s="6">
        <v>4258.0</v>
      </c>
      <c r="E253" s="6">
        <v>1341.0</v>
      </c>
      <c r="F253" s="6">
        <v>1260.0</v>
      </c>
      <c r="G253" s="6">
        <v>16552.0</v>
      </c>
      <c r="H253" s="6">
        <v>6906.0</v>
      </c>
    </row>
    <row r="254">
      <c r="A254" s="6" t="s">
        <v>14</v>
      </c>
      <c r="B254" s="6">
        <v>15.0</v>
      </c>
      <c r="C254" s="6">
        <v>19124.0</v>
      </c>
      <c r="D254" s="6">
        <v>4857.0</v>
      </c>
      <c r="E254" s="6">
        <v>1728.0</v>
      </c>
      <c r="F254" s="6">
        <v>957.0</v>
      </c>
      <c r="G254" s="6">
        <v>15646.0</v>
      </c>
      <c r="H254" s="6">
        <v>9091.0</v>
      </c>
    </row>
    <row r="255">
      <c r="A255" s="6" t="s">
        <v>13</v>
      </c>
      <c r="B255" s="6">
        <v>30.0</v>
      </c>
      <c r="C255" s="6">
        <v>12240.0</v>
      </c>
      <c r="D255" s="6">
        <v>2813.0</v>
      </c>
      <c r="E255" s="6">
        <v>1644.0</v>
      </c>
      <c r="F255" s="6">
        <v>390.0</v>
      </c>
      <c r="G255" s="6">
        <v>6238.0</v>
      </c>
      <c r="H255" s="6">
        <v>7407.0</v>
      </c>
    </row>
    <row r="256">
      <c r="A256" s="6" t="s">
        <v>11</v>
      </c>
      <c r="B256" s="6">
        <v>30.0</v>
      </c>
      <c r="C256" s="6">
        <v>11937.0</v>
      </c>
      <c r="D256" s="6">
        <v>2303.0</v>
      </c>
      <c r="E256" s="6">
        <v>1995.0</v>
      </c>
      <c r="F256" s="6">
        <v>469.0</v>
      </c>
      <c r="G256" s="6">
        <v>16577.0</v>
      </c>
      <c r="H256" s="6">
        <v>9300.0</v>
      </c>
    </row>
    <row r="257">
      <c r="A257" s="6" t="s">
        <v>13</v>
      </c>
      <c r="B257" s="6">
        <v>30.0</v>
      </c>
      <c r="C257" s="6">
        <v>15488.0</v>
      </c>
      <c r="D257" s="6">
        <v>3220.0</v>
      </c>
      <c r="E257" s="6">
        <v>538.0</v>
      </c>
      <c r="F257" s="6">
        <v>1040.0</v>
      </c>
      <c r="G257" s="6">
        <v>16504.0</v>
      </c>
      <c r="H257" s="6">
        <v>2138.0</v>
      </c>
    </row>
    <row r="258">
      <c r="A258" s="6" t="s">
        <v>11</v>
      </c>
      <c r="B258" s="6">
        <v>20.0</v>
      </c>
      <c r="C258" s="6">
        <v>11190.0</v>
      </c>
      <c r="D258" s="6">
        <v>1066.0</v>
      </c>
      <c r="E258" s="6">
        <v>1950.0</v>
      </c>
      <c r="F258" s="6">
        <v>38.0</v>
      </c>
      <c r="G258" s="6">
        <v>4719.0</v>
      </c>
      <c r="H258" s="6">
        <v>6171.0</v>
      </c>
    </row>
    <row r="259">
      <c r="A259" s="6" t="s">
        <v>15</v>
      </c>
      <c r="B259" s="6">
        <v>30.0</v>
      </c>
      <c r="C259" s="6">
        <v>10240.0</v>
      </c>
      <c r="D259" s="6">
        <v>3532.0</v>
      </c>
      <c r="E259" s="6">
        <v>1611.0</v>
      </c>
      <c r="F259" s="6">
        <v>916.0</v>
      </c>
      <c r="G259" s="6">
        <v>1302.0</v>
      </c>
      <c r="H259" s="6">
        <v>7428.0</v>
      </c>
    </row>
    <row r="260">
      <c r="A260" s="6" t="s">
        <v>12</v>
      </c>
      <c r="B260" s="6">
        <v>10.0</v>
      </c>
      <c r="C260" s="6">
        <v>15453.0</v>
      </c>
      <c r="D260" s="6">
        <v>788.0</v>
      </c>
      <c r="E260" s="6">
        <v>96.0</v>
      </c>
      <c r="F260" s="6">
        <v>1066.0</v>
      </c>
      <c r="G260" s="6">
        <v>13144.0</v>
      </c>
      <c r="H260" s="6">
        <v>1882.0</v>
      </c>
    </row>
    <row r="261">
      <c r="A261" s="6" t="s">
        <v>12</v>
      </c>
      <c r="B261" s="6">
        <v>25.0</v>
      </c>
      <c r="C261" s="6">
        <v>15478.0</v>
      </c>
      <c r="D261" s="6">
        <v>4343.0</v>
      </c>
      <c r="E261" s="6">
        <v>1361.0</v>
      </c>
      <c r="F261" s="6">
        <v>888.0</v>
      </c>
      <c r="G261" s="6">
        <v>18370.0</v>
      </c>
      <c r="H261" s="6">
        <v>1903.0</v>
      </c>
    </row>
    <row r="262">
      <c r="A262" s="6" t="s">
        <v>12</v>
      </c>
      <c r="B262" s="6">
        <v>10.0</v>
      </c>
      <c r="C262" s="6">
        <v>18367.0</v>
      </c>
      <c r="D262" s="6">
        <v>3801.0</v>
      </c>
      <c r="E262" s="6">
        <v>827.0</v>
      </c>
      <c r="F262" s="6">
        <v>88.0</v>
      </c>
      <c r="G262" s="6">
        <v>11055.0</v>
      </c>
      <c r="H262" s="6">
        <v>9511.0</v>
      </c>
    </row>
    <row r="263">
      <c r="A263" s="6" t="s">
        <v>13</v>
      </c>
      <c r="B263" s="6">
        <v>10.0</v>
      </c>
      <c r="C263" s="6">
        <v>11493.0</v>
      </c>
      <c r="D263" s="6">
        <v>441.0</v>
      </c>
      <c r="E263" s="6">
        <v>1089.0</v>
      </c>
      <c r="F263" s="6">
        <v>956.0</v>
      </c>
      <c r="G263" s="6">
        <v>5440.0</v>
      </c>
      <c r="H263" s="6">
        <v>3792.0</v>
      </c>
    </row>
    <row r="264">
      <c r="A264" s="6" t="s">
        <v>15</v>
      </c>
      <c r="B264" s="6">
        <v>30.0</v>
      </c>
      <c r="C264" s="6">
        <v>17394.0</v>
      </c>
      <c r="D264" s="6">
        <v>1824.0</v>
      </c>
      <c r="E264" s="6">
        <v>760.0</v>
      </c>
      <c r="F264" s="6">
        <v>468.0</v>
      </c>
      <c r="G264" s="6">
        <v>4072.0</v>
      </c>
      <c r="H264" s="6">
        <v>9511.0</v>
      </c>
    </row>
    <row r="265">
      <c r="A265" s="6" t="s">
        <v>11</v>
      </c>
      <c r="B265" s="6">
        <v>25.0</v>
      </c>
      <c r="C265" s="6">
        <v>7878.0</v>
      </c>
      <c r="D265" s="6">
        <v>4522.0</v>
      </c>
      <c r="E265" s="6">
        <v>450.0</v>
      </c>
      <c r="F265" s="6">
        <v>579.0</v>
      </c>
      <c r="G265" s="6">
        <v>14598.0</v>
      </c>
      <c r="H265" s="6">
        <v>919.0</v>
      </c>
    </row>
    <row r="266">
      <c r="A266" s="6" t="s">
        <v>14</v>
      </c>
      <c r="B266" s="6">
        <v>25.0</v>
      </c>
      <c r="C266" s="6">
        <v>9143.0</v>
      </c>
      <c r="D266" s="6">
        <v>1892.0</v>
      </c>
      <c r="E266" s="6">
        <v>1992.0</v>
      </c>
      <c r="F266" s="6">
        <v>1463.0</v>
      </c>
      <c r="G266" s="6">
        <v>15287.0</v>
      </c>
      <c r="H266" s="6">
        <v>5017.0</v>
      </c>
    </row>
    <row r="267">
      <c r="A267" s="6" t="s">
        <v>11</v>
      </c>
      <c r="B267" s="6">
        <v>25.0</v>
      </c>
      <c r="C267" s="6">
        <v>8644.0</v>
      </c>
      <c r="D267" s="6">
        <v>1859.0</v>
      </c>
      <c r="E267" s="6">
        <v>1867.0</v>
      </c>
      <c r="F267" s="6">
        <v>747.0</v>
      </c>
      <c r="G267" s="6">
        <v>14965.0</v>
      </c>
      <c r="H267" s="6">
        <v>3802.0</v>
      </c>
    </row>
    <row r="268">
      <c r="A268" s="6" t="s">
        <v>14</v>
      </c>
      <c r="B268" s="6">
        <v>20.0</v>
      </c>
      <c r="C268" s="6">
        <v>9432.0</v>
      </c>
      <c r="D268" s="6">
        <v>3312.0</v>
      </c>
      <c r="E268" s="6">
        <v>1030.0</v>
      </c>
      <c r="F268" s="6">
        <v>1318.0</v>
      </c>
      <c r="G268" s="6">
        <v>10519.0</v>
      </c>
      <c r="H268" s="6">
        <v>8357.0</v>
      </c>
    </row>
    <row r="269">
      <c r="A269" s="6" t="s">
        <v>11</v>
      </c>
      <c r="B269" s="6">
        <v>30.0</v>
      </c>
      <c r="C269" s="6">
        <v>18337.0</v>
      </c>
      <c r="D269" s="6">
        <v>1089.0</v>
      </c>
      <c r="E269" s="6">
        <v>1159.0</v>
      </c>
      <c r="F269" s="6">
        <v>525.0</v>
      </c>
      <c r="G269" s="6">
        <v>14380.0</v>
      </c>
      <c r="H269" s="6">
        <v>8370.0</v>
      </c>
    </row>
    <row r="270">
      <c r="A270" s="6" t="s">
        <v>15</v>
      </c>
      <c r="B270" s="6">
        <v>25.0</v>
      </c>
      <c r="C270" s="6">
        <v>18568.0</v>
      </c>
      <c r="D270" s="6">
        <v>2362.0</v>
      </c>
      <c r="E270" s="6">
        <v>299.0</v>
      </c>
      <c r="F270" s="6">
        <v>1132.0</v>
      </c>
      <c r="G270" s="6">
        <v>12865.0</v>
      </c>
      <c r="H270" s="6">
        <v>6193.0</v>
      </c>
    </row>
    <row r="271">
      <c r="A271" s="6" t="s">
        <v>14</v>
      </c>
      <c r="B271" s="6">
        <v>20.0</v>
      </c>
      <c r="C271" s="6">
        <v>15247.0</v>
      </c>
      <c r="D271" s="6">
        <v>2582.0</v>
      </c>
      <c r="E271" s="6">
        <v>440.0</v>
      </c>
      <c r="F271" s="6">
        <v>406.0</v>
      </c>
      <c r="G271" s="6">
        <v>9125.0</v>
      </c>
      <c r="H271" s="6">
        <v>1267.0</v>
      </c>
    </row>
    <row r="272">
      <c r="A272" s="6" t="s">
        <v>13</v>
      </c>
      <c r="B272" s="6">
        <v>15.0</v>
      </c>
      <c r="C272" s="6">
        <v>17912.0</v>
      </c>
      <c r="D272" s="6">
        <v>1051.0</v>
      </c>
      <c r="E272" s="6">
        <v>1855.0</v>
      </c>
      <c r="F272" s="6">
        <v>48.0</v>
      </c>
      <c r="G272" s="6">
        <v>4291.0</v>
      </c>
      <c r="H272" s="6">
        <v>2544.0</v>
      </c>
    </row>
    <row r="273">
      <c r="A273" s="6" t="s">
        <v>11</v>
      </c>
      <c r="B273" s="6">
        <v>15.0</v>
      </c>
      <c r="C273" s="6">
        <v>19178.0</v>
      </c>
      <c r="D273" s="6">
        <v>822.0</v>
      </c>
      <c r="E273" s="6">
        <v>384.0</v>
      </c>
      <c r="F273" s="6">
        <v>1304.0</v>
      </c>
      <c r="G273" s="6">
        <v>5033.0</v>
      </c>
      <c r="H273" s="6">
        <v>2049.0</v>
      </c>
    </row>
    <row r="274">
      <c r="A274" s="6" t="s">
        <v>11</v>
      </c>
      <c r="B274" s="6">
        <v>20.0</v>
      </c>
      <c r="C274" s="6">
        <v>6276.0</v>
      </c>
      <c r="D274" s="6">
        <v>3489.0</v>
      </c>
      <c r="E274" s="6">
        <v>678.0</v>
      </c>
      <c r="F274" s="6">
        <v>896.0</v>
      </c>
      <c r="G274" s="6">
        <v>6105.0</v>
      </c>
      <c r="H274" s="6">
        <v>6640.0</v>
      </c>
    </row>
    <row r="275">
      <c r="A275" s="6" t="s">
        <v>14</v>
      </c>
      <c r="B275" s="6">
        <v>20.0</v>
      </c>
      <c r="C275" s="6">
        <v>10811.0</v>
      </c>
      <c r="D275" s="6">
        <v>2179.0</v>
      </c>
      <c r="E275" s="6">
        <v>1592.0</v>
      </c>
      <c r="F275" s="6">
        <v>806.0</v>
      </c>
      <c r="G275" s="6">
        <v>18087.0</v>
      </c>
      <c r="H275" s="6">
        <v>4216.0</v>
      </c>
    </row>
    <row r="276">
      <c r="A276" s="6" t="s">
        <v>13</v>
      </c>
      <c r="B276" s="6">
        <v>30.0</v>
      </c>
      <c r="C276" s="6">
        <v>15958.0</v>
      </c>
      <c r="D276" s="6">
        <v>2817.0</v>
      </c>
      <c r="E276" s="6">
        <v>186.0</v>
      </c>
      <c r="F276" s="6">
        <v>166.0</v>
      </c>
      <c r="G276" s="6">
        <v>9133.0</v>
      </c>
      <c r="H276" s="6">
        <v>4981.0</v>
      </c>
    </row>
    <row r="277">
      <c r="A277" s="6" t="s">
        <v>13</v>
      </c>
      <c r="B277" s="6">
        <v>30.0</v>
      </c>
      <c r="C277" s="6">
        <v>5302.0</v>
      </c>
      <c r="D277" s="6">
        <v>2432.0</v>
      </c>
      <c r="E277" s="6">
        <v>932.0</v>
      </c>
      <c r="F277" s="6">
        <v>1108.0</v>
      </c>
      <c r="G277" s="6">
        <v>17958.0</v>
      </c>
      <c r="H277" s="6">
        <v>8398.0</v>
      </c>
    </row>
    <row r="278">
      <c r="A278" s="6" t="s">
        <v>15</v>
      </c>
      <c r="B278" s="6">
        <v>15.0</v>
      </c>
      <c r="C278" s="6">
        <v>5638.0</v>
      </c>
      <c r="D278" s="6">
        <v>3476.0</v>
      </c>
      <c r="E278" s="6">
        <v>737.0</v>
      </c>
      <c r="F278" s="6">
        <v>893.0</v>
      </c>
      <c r="G278" s="6">
        <v>6704.0</v>
      </c>
      <c r="H278" s="6">
        <v>7048.0</v>
      </c>
    </row>
    <row r="279">
      <c r="A279" s="6" t="s">
        <v>13</v>
      </c>
      <c r="B279" s="6">
        <v>25.0</v>
      </c>
      <c r="C279" s="6">
        <v>5055.0</v>
      </c>
      <c r="D279" s="6">
        <v>4624.0</v>
      </c>
      <c r="E279" s="6">
        <v>1913.0</v>
      </c>
      <c r="F279" s="6">
        <v>1163.0</v>
      </c>
      <c r="G279" s="6">
        <v>8848.0</v>
      </c>
      <c r="H279" s="6">
        <v>2793.0</v>
      </c>
    </row>
    <row r="280">
      <c r="A280" s="6" t="s">
        <v>13</v>
      </c>
      <c r="B280" s="6">
        <v>15.0</v>
      </c>
      <c r="C280" s="6">
        <v>18013.0</v>
      </c>
      <c r="D280" s="6">
        <v>1600.0</v>
      </c>
      <c r="E280" s="6">
        <v>1571.0</v>
      </c>
      <c r="F280" s="6">
        <v>983.0</v>
      </c>
      <c r="G280" s="6">
        <v>13975.0</v>
      </c>
      <c r="H280" s="6">
        <v>5337.0</v>
      </c>
    </row>
    <row r="281">
      <c r="A281" s="6" t="s">
        <v>13</v>
      </c>
      <c r="B281" s="6">
        <v>25.0</v>
      </c>
      <c r="C281" s="6">
        <v>13717.0</v>
      </c>
      <c r="D281" s="6">
        <v>385.0</v>
      </c>
      <c r="E281" s="6">
        <v>876.0</v>
      </c>
      <c r="F281" s="6">
        <v>1117.0</v>
      </c>
      <c r="G281" s="6">
        <v>7924.0</v>
      </c>
      <c r="H281" s="6">
        <v>8258.0</v>
      </c>
    </row>
    <row r="282">
      <c r="A282" s="6" t="s">
        <v>12</v>
      </c>
      <c r="B282" s="6">
        <v>25.0</v>
      </c>
      <c r="C282" s="6">
        <v>17761.0</v>
      </c>
      <c r="D282" s="6">
        <v>3595.0</v>
      </c>
      <c r="E282" s="6">
        <v>776.0</v>
      </c>
      <c r="F282" s="6">
        <v>1055.0</v>
      </c>
      <c r="G282" s="6">
        <v>1488.0</v>
      </c>
      <c r="H282" s="6">
        <v>7293.0</v>
      </c>
    </row>
    <row r="283">
      <c r="A283" s="6" t="s">
        <v>15</v>
      </c>
      <c r="B283" s="6">
        <v>30.0</v>
      </c>
      <c r="C283" s="6">
        <v>17315.0</v>
      </c>
      <c r="D283" s="6">
        <v>2165.0</v>
      </c>
      <c r="E283" s="6">
        <v>1550.0</v>
      </c>
      <c r="F283" s="6">
        <v>1492.0</v>
      </c>
      <c r="G283" s="6">
        <v>8114.0</v>
      </c>
      <c r="H283" s="6">
        <v>8138.0</v>
      </c>
    </row>
    <row r="284">
      <c r="A284" s="6" t="s">
        <v>11</v>
      </c>
      <c r="B284" s="6">
        <v>10.0</v>
      </c>
      <c r="C284" s="6">
        <v>13150.0</v>
      </c>
      <c r="D284" s="6">
        <v>868.0</v>
      </c>
      <c r="E284" s="6">
        <v>643.0</v>
      </c>
      <c r="F284" s="6">
        <v>858.0</v>
      </c>
      <c r="G284" s="6">
        <v>16740.0</v>
      </c>
      <c r="H284" s="6">
        <v>8493.0</v>
      </c>
    </row>
    <row r="285">
      <c r="A285" s="6" t="s">
        <v>14</v>
      </c>
      <c r="B285" s="6">
        <v>10.0</v>
      </c>
      <c r="C285" s="6">
        <v>7125.0</v>
      </c>
      <c r="D285" s="6">
        <v>3157.0</v>
      </c>
      <c r="E285" s="6">
        <v>1296.0</v>
      </c>
      <c r="F285" s="6">
        <v>1415.0</v>
      </c>
      <c r="G285" s="6">
        <v>4173.0</v>
      </c>
      <c r="H285" s="6">
        <v>6507.0</v>
      </c>
    </row>
    <row r="286">
      <c r="A286" s="6" t="s">
        <v>11</v>
      </c>
      <c r="B286" s="6">
        <v>20.0</v>
      </c>
      <c r="C286" s="6">
        <v>16479.0</v>
      </c>
      <c r="D286" s="6">
        <v>4389.0</v>
      </c>
      <c r="E286" s="6">
        <v>1039.0</v>
      </c>
      <c r="F286" s="6">
        <v>757.0</v>
      </c>
      <c r="G286" s="6">
        <v>2667.0</v>
      </c>
      <c r="H286" s="6">
        <v>6042.0</v>
      </c>
    </row>
    <row r="287">
      <c r="A287" s="6" t="s">
        <v>15</v>
      </c>
      <c r="B287" s="6">
        <v>30.0</v>
      </c>
      <c r="C287" s="6">
        <v>5364.0</v>
      </c>
      <c r="D287" s="6">
        <v>2261.0</v>
      </c>
      <c r="E287" s="6">
        <v>421.0</v>
      </c>
      <c r="F287" s="6">
        <v>1473.0</v>
      </c>
      <c r="G287" s="6">
        <v>5114.0</v>
      </c>
      <c r="H287" s="6">
        <v>9592.0</v>
      </c>
    </row>
    <row r="288">
      <c r="A288" s="6" t="s">
        <v>14</v>
      </c>
      <c r="B288" s="6">
        <v>25.0</v>
      </c>
      <c r="C288" s="6">
        <v>11809.0</v>
      </c>
      <c r="D288" s="6">
        <v>3393.0</v>
      </c>
      <c r="E288" s="6">
        <v>984.0</v>
      </c>
      <c r="F288" s="6">
        <v>998.0</v>
      </c>
      <c r="G288" s="6">
        <v>4553.0</v>
      </c>
      <c r="H288" s="6">
        <v>6856.0</v>
      </c>
    </row>
    <row r="289">
      <c r="A289" s="6" t="s">
        <v>15</v>
      </c>
      <c r="B289" s="6">
        <v>10.0</v>
      </c>
      <c r="C289" s="6">
        <v>9621.0</v>
      </c>
      <c r="D289" s="6">
        <v>1046.0</v>
      </c>
      <c r="E289" s="6">
        <v>1044.0</v>
      </c>
      <c r="F289" s="6">
        <v>30.0</v>
      </c>
      <c r="G289" s="6">
        <v>8761.0</v>
      </c>
      <c r="H289" s="6">
        <v>8933.0</v>
      </c>
    </row>
    <row r="290">
      <c r="A290" s="6" t="s">
        <v>13</v>
      </c>
      <c r="B290" s="6">
        <v>25.0</v>
      </c>
      <c r="C290" s="6">
        <v>18623.0</v>
      </c>
      <c r="D290" s="6">
        <v>3435.0</v>
      </c>
      <c r="E290" s="6">
        <v>451.0</v>
      </c>
      <c r="F290" s="6">
        <v>312.0</v>
      </c>
      <c r="G290" s="6">
        <v>2000.0</v>
      </c>
      <c r="H290" s="6">
        <v>7880.0</v>
      </c>
    </row>
    <row r="291">
      <c r="A291" s="6" t="s">
        <v>14</v>
      </c>
      <c r="B291" s="6">
        <v>10.0</v>
      </c>
      <c r="C291" s="6">
        <v>18170.0</v>
      </c>
      <c r="D291" s="6">
        <v>4250.0</v>
      </c>
      <c r="E291" s="6">
        <v>1516.0</v>
      </c>
      <c r="F291" s="6">
        <v>878.0</v>
      </c>
      <c r="G291" s="6">
        <v>16638.0</v>
      </c>
      <c r="H291" s="6">
        <v>2885.0</v>
      </c>
    </row>
    <row r="292">
      <c r="A292" s="6" t="s">
        <v>13</v>
      </c>
      <c r="B292" s="6">
        <v>10.0</v>
      </c>
      <c r="C292" s="6">
        <v>10126.0</v>
      </c>
      <c r="D292" s="6">
        <v>4995.0</v>
      </c>
      <c r="E292" s="6">
        <v>1563.0</v>
      </c>
      <c r="F292" s="6">
        <v>93.0</v>
      </c>
      <c r="G292" s="6">
        <v>18772.0</v>
      </c>
      <c r="H292" s="6">
        <v>4768.0</v>
      </c>
    </row>
    <row r="293">
      <c r="A293" s="6" t="s">
        <v>11</v>
      </c>
      <c r="B293" s="6">
        <v>10.0</v>
      </c>
      <c r="C293" s="6">
        <v>10122.0</v>
      </c>
      <c r="D293" s="6">
        <v>4973.0</v>
      </c>
      <c r="E293" s="6">
        <v>664.0</v>
      </c>
      <c r="F293" s="6">
        <v>1486.0</v>
      </c>
      <c r="G293" s="6">
        <v>6450.0</v>
      </c>
      <c r="H293" s="6">
        <v>1171.0</v>
      </c>
    </row>
    <row r="294">
      <c r="A294" s="6" t="s">
        <v>11</v>
      </c>
      <c r="B294" s="6">
        <v>30.0</v>
      </c>
      <c r="C294" s="6">
        <v>6646.0</v>
      </c>
      <c r="D294" s="6">
        <v>1581.0</v>
      </c>
      <c r="E294" s="6">
        <v>1346.0</v>
      </c>
      <c r="F294" s="6">
        <v>1420.0</v>
      </c>
      <c r="G294" s="6">
        <v>4712.0</v>
      </c>
      <c r="H294" s="6">
        <v>663.0</v>
      </c>
    </row>
    <row r="295">
      <c r="A295" s="6" t="s">
        <v>14</v>
      </c>
      <c r="B295" s="6">
        <v>15.0</v>
      </c>
      <c r="C295" s="6">
        <v>5918.0</v>
      </c>
      <c r="D295" s="6">
        <v>2001.0</v>
      </c>
      <c r="E295" s="6">
        <v>1599.0</v>
      </c>
      <c r="F295" s="6">
        <v>1290.0</v>
      </c>
      <c r="G295" s="6">
        <v>2367.0</v>
      </c>
      <c r="H295" s="6">
        <v>9156.0</v>
      </c>
    </row>
    <row r="296">
      <c r="A296" s="6" t="s">
        <v>14</v>
      </c>
      <c r="B296" s="6">
        <v>25.0</v>
      </c>
      <c r="C296" s="6">
        <v>7797.0</v>
      </c>
      <c r="D296" s="6">
        <v>3551.0</v>
      </c>
      <c r="E296" s="6">
        <v>1232.0</v>
      </c>
      <c r="F296" s="6">
        <v>579.0</v>
      </c>
      <c r="G296" s="6">
        <v>9189.0</v>
      </c>
      <c r="H296" s="6">
        <v>5092.0</v>
      </c>
    </row>
    <row r="297">
      <c r="A297" s="6" t="s">
        <v>15</v>
      </c>
      <c r="B297" s="6">
        <v>30.0</v>
      </c>
      <c r="C297" s="6">
        <v>11506.0</v>
      </c>
      <c r="D297" s="6">
        <v>4164.0</v>
      </c>
      <c r="E297" s="6">
        <v>1225.0</v>
      </c>
      <c r="F297" s="6">
        <v>943.0</v>
      </c>
      <c r="G297" s="6">
        <v>10013.0</v>
      </c>
      <c r="H297" s="6">
        <v>5295.0</v>
      </c>
    </row>
    <row r="298">
      <c r="A298" s="6" t="s">
        <v>15</v>
      </c>
      <c r="B298" s="6">
        <v>30.0</v>
      </c>
      <c r="C298" s="6">
        <v>10870.0</v>
      </c>
      <c r="D298" s="6">
        <v>154.0</v>
      </c>
      <c r="E298" s="6">
        <v>1044.0</v>
      </c>
      <c r="F298" s="6">
        <v>1195.0</v>
      </c>
      <c r="G298" s="6">
        <v>17838.0</v>
      </c>
      <c r="H298" s="6">
        <v>5298.0</v>
      </c>
    </row>
    <row r="299">
      <c r="A299" s="6" t="s">
        <v>13</v>
      </c>
      <c r="B299" s="6">
        <v>30.0</v>
      </c>
      <c r="C299" s="6">
        <v>6531.0</v>
      </c>
      <c r="D299" s="6">
        <v>1923.0</v>
      </c>
      <c r="E299" s="6">
        <v>669.0</v>
      </c>
      <c r="F299" s="6">
        <v>1196.0</v>
      </c>
      <c r="G299" s="6">
        <v>4726.0</v>
      </c>
      <c r="H299" s="6">
        <v>6536.0</v>
      </c>
    </row>
    <row r="300">
      <c r="A300" s="6" t="s">
        <v>14</v>
      </c>
      <c r="B300" s="6">
        <v>30.0</v>
      </c>
      <c r="C300" s="6">
        <v>13172.0</v>
      </c>
      <c r="D300" s="6">
        <v>3562.0</v>
      </c>
      <c r="E300" s="6">
        <v>237.0</v>
      </c>
      <c r="F300" s="6">
        <v>1018.0</v>
      </c>
      <c r="G300" s="6">
        <v>5806.0</v>
      </c>
      <c r="H300" s="6">
        <v>2855.0</v>
      </c>
    </row>
    <row r="301">
      <c r="A301" s="6" t="s">
        <v>11</v>
      </c>
      <c r="B301" s="6">
        <v>30.0</v>
      </c>
      <c r="C301" s="6">
        <v>8345.0</v>
      </c>
      <c r="D301" s="6">
        <v>3179.0</v>
      </c>
      <c r="E301" s="6">
        <v>1886.0</v>
      </c>
      <c r="F301" s="6">
        <v>802.0</v>
      </c>
      <c r="G301" s="6">
        <v>3190.0</v>
      </c>
      <c r="H301" s="6">
        <v>6387.0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7.63"/>
    <col customWidth="1" min="10" max="10" width="20.38"/>
    <col customWidth="1" min="14" max="14" width="16.75"/>
    <col customWidth="1" min="15" max="15" width="17.63"/>
    <col customWidth="1" min="16" max="16" width="15.63"/>
    <col customWidth="1" min="19" max="19" width="21.75"/>
    <col customWidth="1" min="21" max="21" width="12.75"/>
    <col customWidth="1" min="22" max="22" width="14.63"/>
    <col customWidth="1" min="23" max="23" width="16.38"/>
    <col customWidth="1" min="25" max="25" width="13.5"/>
    <col customWidth="1" min="26" max="26" width="19.25"/>
    <col customWidth="1" min="27" max="27" width="19.0"/>
    <col customWidth="1" min="28" max="28" width="15.75"/>
  </cols>
  <sheetData>
    <row r="1">
      <c r="A1" s="1" t="s">
        <v>0</v>
      </c>
      <c r="B1" s="1" t="s">
        <v>29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</v>
      </c>
      <c r="I1" s="1" t="s">
        <v>6</v>
      </c>
      <c r="J1" s="1" t="s">
        <v>49</v>
      </c>
      <c r="K1" s="1" t="s">
        <v>48</v>
      </c>
      <c r="O1" s="1" t="s">
        <v>0</v>
      </c>
      <c r="P1" s="1" t="s">
        <v>59</v>
      </c>
      <c r="Q1" s="1" t="s">
        <v>53</v>
      </c>
      <c r="R1" s="1" t="s">
        <v>37</v>
      </c>
      <c r="S1" s="1" t="s">
        <v>38</v>
      </c>
      <c r="T1" s="1" t="s">
        <v>55</v>
      </c>
      <c r="U1" s="1" t="s">
        <v>56</v>
      </c>
      <c r="V1" s="1" t="s">
        <v>57</v>
      </c>
      <c r="W1" s="1" t="s">
        <v>31</v>
      </c>
      <c r="X1" s="1" t="s">
        <v>58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6"/>
      <c r="AE1" s="6"/>
      <c r="AF1" s="6"/>
      <c r="AG1" s="6"/>
      <c r="AH1" s="6"/>
      <c r="AI1" s="6"/>
    </row>
    <row r="2">
      <c r="A2" s="6" t="s">
        <v>15</v>
      </c>
      <c r="B2" s="6" t="s">
        <v>15</v>
      </c>
      <c r="C2" s="6">
        <v>30.0</v>
      </c>
      <c r="D2" s="6">
        <v>7660.0</v>
      </c>
      <c r="E2" s="6">
        <v>1028.0</v>
      </c>
      <c r="F2" s="6">
        <v>803.0</v>
      </c>
      <c r="G2" s="6">
        <v>370.0</v>
      </c>
      <c r="H2" s="6">
        <v>3953.0</v>
      </c>
      <c r="I2" s="6">
        <v>19950.0</v>
      </c>
      <c r="J2" s="6">
        <v>133.4</v>
      </c>
      <c r="K2" s="6" t="s">
        <v>50</v>
      </c>
      <c r="O2" s="6" t="s">
        <v>14</v>
      </c>
      <c r="P2" s="15">
        <f t="shared" ref="P2:P6" si="3">SUMIF(A:A,O2,D:D)</f>
        <v>924016</v>
      </c>
      <c r="Q2" s="15">
        <f t="shared" ref="Q2:Q6" si="4">SUMIF(A:A,O2,E:E)</f>
        <v>193054</v>
      </c>
      <c r="R2" s="15">
        <f t="shared" ref="R2:R6" si="5">SUMIF(A:A,O2,F:F)</f>
        <v>72891</v>
      </c>
      <c r="S2" s="15">
        <f t="shared" ref="S2:S6" si="6">SUMIF(A:A,O2,G:G)</f>
        <v>46763</v>
      </c>
      <c r="T2" s="7">
        <f t="shared" ref="T2:V2" si="1">Q2/P2</f>
        <v>0.2089292826</v>
      </c>
      <c r="U2" s="7">
        <f t="shared" si="1"/>
        <v>0.3775679344</v>
      </c>
      <c r="V2" s="7">
        <f t="shared" si="1"/>
        <v>0.6415469674</v>
      </c>
      <c r="W2" s="15">
        <f t="shared" ref="W2:W6" si="8">SUMIF(A:A,O2,I:I)</f>
        <v>707958</v>
      </c>
      <c r="X2" s="15">
        <f t="shared" ref="X2:X6" si="9">SUMIF(A:A,O2,H:H)</f>
        <v>364382</v>
      </c>
      <c r="Y2" s="7">
        <f t="shared" ref="Y2:Y6" si="10">(W2-X2)/X2</f>
        <v>0.9429005824</v>
      </c>
      <c r="Z2" s="7">
        <f t="shared" ref="Z2:AB2" si="2">1-Q2/P2</f>
        <v>0.7910707174</v>
      </c>
      <c r="AA2" s="7">
        <f t="shared" si="2"/>
        <v>0.6224320656</v>
      </c>
      <c r="AB2" s="24">
        <f t="shared" si="2"/>
        <v>0.3584530326</v>
      </c>
      <c r="AC2" s="14">
        <f t="shared" ref="AC2:AC6" si="12">W2/S2</f>
        <v>15.13927678</v>
      </c>
    </row>
    <row r="3">
      <c r="A3" s="6" t="s">
        <v>12</v>
      </c>
      <c r="B3" s="6" t="s">
        <v>14</v>
      </c>
      <c r="C3" s="6">
        <v>20.0</v>
      </c>
      <c r="D3" s="6">
        <v>15403.0</v>
      </c>
      <c r="E3" s="6">
        <v>3707.0</v>
      </c>
      <c r="F3" s="6">
        <v>677.0</v>
      </c>
      <c r="G3" s="6">
        <v>578.0</v>
      </c>
      <c r="H3" s="6">
        <v>5007.0</v>
      </c>
      <c r="I3" s="6">
        <v>18359.0</v>
      </c>
      <c r="J3" s="6">
        <v>91.28</v>
      </c>
      <c r="K3" s="6" t="s">
        <v>51</v>
      </c>
      <c r="O3" s="6" t="s">
        <v>11</v>
      </c>
      <c r="P3" s="15">
        <f t="shared" si="3"/>
        <v>708574</v>
      </c>
      <c r="Q3" s="15">
        <f t="shared" si="4"/>
        <v>163278</v>
      </c>
      <c r="R3" s="15">
        <f t="shared" si="5"/>
        <v>59125</v>
      </c>
      <c r="S3" s="15">
        <f t="shared" si="6"/>
        <v>40890</v>
      </c>
      <c r="T3" s="25">
        <f t="shared" ref="T3:V3" si="7">Q3/P3</f>
        <v>0.230431825</v>
      </c>
      <c r="U3" s="7">
        <f t="shared" si="7"/>
        <v>0.3621124708</v>
      </c>
      <c r="V3" s="7">
        <f t="shared" si="7"/>
        <v>0.6915856237</v>
      </c>
      <c r="W3" s="15">
        <f t="shared" si="8"/>
        <v>677125</v>
      </c>
      <c r="X3" s="15">
        <f t="shared" si="9"/>
        <v>286973</v>
      </c>
      <c r="Y3" s="25">
        <f t="shared" si="10"/>
        <v>1.359542535</v>
      </c>
      <c r="Z3" s="7">
        <f t="shared" ref="Z3:AB3" si="11">1-Q3/P3</f>
        <v>0.769568175</v>
      </c>
      <c r="AA3" s="24">
        <f t="shared" si="11"/>
        <v>0.6378875292</v>
      </c>
      <c r="AB3" s="7">
        <f t="shared" si="11"/>
        <v>0.3084143763</v>
      </c>
      <c r="AC3" s="26">
        <f t="shared" si="12"/>
        <v>16.55967229</v>
      </c>
    </row>
    <row r="4">
      <c r="A4" s="6" t="s">
        <v>14</v>
      </c>
      <c r="B4" s="6" t="s">
        <v>11</v>
      </c>
      <c r="C4" s="6">
        <v>25.0</v>
      </c>
      <c r="D4" s="6">
        <v>15101.0</v>
      </c>
      <c r="E4" s="6">
        <v>622.0</v>
      </c>
      <c r="F4" s="6">
        <v>1182.0</v>
      </c>
      <c r="G4" s="6">
        <v>1425.0</v>
      </c>
      <c r="H4" s="6">
        <v>6283.0</v>
      </c>
      <c r="I4" s="6">
        <v>2262.0</v>
      </c>
      <c r="J4" s="6">
        <v>102.91</v>
      </c>
      <c r="K4" s="6" t="s">
        <v>50</v>
      </c>
      <c r="O4" s="6" t="s">
        <v>15</v>
      </c>
      <c r="P4" s="15">
        <f t="shared" si="3"/>
        <v>696025</v>
      </c>
      <c r="Q4" s="15">
        <f t="shared" si="4"/>
        <v>159199</v>
      </c>
      <c r="R4" s="15">
        <f t="shared" si="5"/>
        <v>67015</v>
      </c>
      <c r="S4" s="15">
        <f t="shared" si="6"/>
        <v>44286</v>
      </c>
      <c r="T4" s="7">
        <f t="shared" ref="T4:V4" si="13">Q4/P4</f>
        <v>0.2287259797</v>
      </c>
      <c r="U4" s="7">
        <f t="shared" si="13"/>
        <v>0.4209511366</v>
      </c>
      <c r="V4" s="7">
        <f t="shared" si="13"/>
        <v>0.660837126</v>
      </c>
      <c r="W4" s="27">
        <f t="shared" si="8"/>
        <v>719396</v>
      </c>
      <c r="X4" s="15">
        <f t="shared" si="9"/>
        <v>321691</v>
      </c>
      <c r="Y4" s="7">
        <f t="shared" si="10"/>
        <v>1.236295078</v>
      </c>
      <c r="Z4" s="7">
        <f t="shared" ref="Z4:AB4" si="14">1-Q4/P4</f>
        <v>0.7712740203</v>
      </c>
      <c r="AA4" s="7">
        <f t="shared" si="14"/>
        <v>0.5790488634</v>
      </c>
      <c r="AB4" s="7">
        <f t="shared" si="14"/>
        <v>0.339162874</v>
      </c>
      <c r="AC4" s="14">
        <f t="shared" si="12"/>
        <v>16.244321</v>
      </c>
    </row>
    <row r="5">
      <c r="A5" s="6" t="s">
        <v>12</v>
      </c>
      <c r="B5" s="6" t="s">
        <v>15</v>
      </c>
      <c r="C5" s="6">
        <v>10.0</v>
      </c>
      <c r="D5" s="6">
        <v>8730.0</v>
      </c>
      <c r="E5" s="6">
        <v>3623.0</v>
      </c>
      <c r="F5" s="6">
        <v>270.0</v>
      </c>
      <c r="G5" s="6">
        <v>227.0</v>
      </c>
      <c r="H5" s="6">
        <v>8251.0</v>
      </c>
      <c r="I5" s="6">
        <v>8382.0</v>
      </c>
      <c r="J5" s="6">
        <v>112.33</v>
      </c>
      <c r="K5" s="6" t="s">
        <v>50</v>
      </c>
      <c r="O5" s="6" t="s">
        <v>13</v>
      </c>
      <c r="P5" s="15">
        <f t="shared" si="3"/>
        <v>685595</v>
      </c>
      <c r="Q5" s="15">
        <f t="shared" si="4"/>
        <v>120755</v>
      </c>
      <c r="R5" s="15">
        <f t="shared" si="5"/>
        <v>54724</v>
      </c>
      <c r="S5" s="15">
        <f t="shared" si="6"/>
        <v>45039</v>
      </c>
      <c r="T5" s="7">
        <f t="shared" ref="T5:V5" si="15">Q5/P5</f>
        <v>0.1761316812</v>
      </c>
      <c r="U5" s="7">
        <f t="shared" si="15"/>
        <v>0.4531820629</v>
      </c>
      <c r="V5" s="7">
        <f t="shared" si="15"/>
        <v>0.823020978</v>
      </c>
      <c r="W5" s="15">
        <f t="shared" si="8"/>
        <v>510527</v>
      </c>
      <c r="X5" s="15">
        <f t="shared" si="9"/>
        <v>278094</v>
      </c>
      <c r="Y5" s="7">
        <f t="shared" si="10"/>
        <v>0.835807317</v>
      </c>
      <c r="Z5" s="28">
        <f t="shared" ref="Z5:AB5" si="16">1-Q5/P5</f>
        <v>0.8238683188</v>
      </c>
      <c r="AA5" s="7">
        <f t="shared" si="16"/>
        <v>0.5468179371</v>
      </c>
      <c r="AB5" s="7">
        <f t="shared" si="16"/>
        <v>0.176979022</v>
      </c>
      <c r="AC5" s="14">
        <f t="shared" si="12"/>
        <v>11.33522059</v>
      </c>
    </row>
    <row r="6">
      <c r="A6" s="6" t="s">
        <v>14</v>
      </c>
      <c r="B6" s="6" t="s">
        <v>14</v>
      </c>
      <c r="C6" s="6">
        <v>30.0</v>
      </c>
      <c r="D6" s="6">
        <v>15238.0</v>
      </c>
      <c r="E6" s="6">
        <v>4626.0</v>
      </c>
      <c r="F6" s="6">
        <v>1977.0</v>
      </c>
      <c r="G6" s="6">
        <v>211.0</v>
      </c>
      <c r="H6" s="6">
        <v>6128.0</v>
      </c>
      <c r="I6" s="6">
        <v>4327.0</v>
      </c>
      <c r="J6" s="6">
        <v>104.53</v>
      </c>
      <c r="K6" s="6" t="s">
        <v>51</v>
      </c>
      <c r="O6" s="6" t="s">
        <v>12</v>
      </c>
      <c r="P6" s="15">
        <f t="shared" si="3"/>
        <v>684906</v>
      </c>
      <c r="Q6" s="15">
        <f t="shared" si="4"/>
        <v>146759</v>
      </c>
      <c r="R6" s="15">
        <f t="shared" si="5"/>
        <v>58463</v>
      </c>
      <c r="S6" s="15">
        <f t="shared" si="6"/>
        <v>44707</v>
      </c>
      <c r="T6" s="7">
        <f t="shared" ref="T6:V6" si="17">Q6/P6</f>
        <v>0.2142761196</v>
      </c>
      <c r="U6" s="7">
        <f t="shared" si="17"/>
        <v>0.3983605775</v>
      </c>
      <c r="V6" s="7">
        <f t="shared" si="17"/>
        <v>0.7647058824</v>
      </c>
      <c r="W6" s="15">
        <f t="shared" si="8"/>
        <v>606066</v>
      </c>
      <c r="X6" s="15">
        <f t="shared" si="9"/>
        <v>265274</v>
      </c>
      <c r="Y6" s="7">
        <f t="shared" si="10"/>
        <v>1.284679237</v>
      </c>
      <c r="Z6" s="7">
        <f t="shared" ref="Z6:AB6" si="18">1-Q6/P6</f>
        <v>0.7857238804</v>
      </c>
      <c r="AA6" s="7">
        <f t="shared" si="18"/>
        <v>0.6016394225</v>
      </c>
      <c r="AB6" s="7">
        <f t="shared" si="18"/>
        <v>0.2352941176</v>
      </c>
      <c r="AC6" s="14">
        <f t="shared" si="12"/>
        <v>13.55640056</v>
      </c>
    </row>
    <row r="7">
      <c r="A7" s="6" t="s">
        <v>14</v>
      </c>
      <c r="B7" s="6" t="s">
        <v>13</v>
      </c>
      <c r="C7" s="6">
        <v>30.0</v>
      </c>
      <c r="D7" s="6">
        <v>11207.0</v>
      </c>
      <c r="E7" s="6">
        <v>4988.0</v>
      </c>
      <c r="F7" s="6">
        <v>602.0</v>
      </c>
      <c r="G7" s="6">
        <v>26.0</v>
      </c>
      <c r="H7" s="6">
        <v>8828.0</v>
      </c>
      <c r="I7" s="6">
        <v>19643.0</v>
      </c>
      <c r="J7" s="6">
        <v>105.1</v>
      </c>
      <c r="K7" s="6" t="s">
        <v>50</v>
      </c>
    </row>
    <row r="8">
      <c r="A8" s="6" t="s">
        <v>12</v>
      </c>
      <c r="B8" s="6" t="s">
        <v>14</v>
      </c>
      <c r="C8" s="6">
        <v>10.0</v>
      </c>
      <c r="D8" s="6">
        <v>8162.0</v>
      </c>
      <c r="E8" s="6">
        <v>1729.0</v>
      </c>
      <c r="F8" s="6">
        <v>1441.0</v>
      </c>
      <c r="G8" s="6">
        <v>331.0</v>
      </c>
      <c r="H8" s="6">
        <v>3860.0</v>
      </c>
      <c r="I8" s="6">
        <v>11020.0</v>
      </c>
      <c r="J8" s="6">
        <v>98.87</v>
      </c>
      <c r="K8" s="6" t="s">
        <v>50</v>
      </c>
    </row>
    <row r="9">
      <c r="A9" s="6" t="s">
        <v>13</v>
      </c>
      <c r="B9" s="6" t="s">
        <v>12</v>
      </c>
      <c r="C9" s="6">
        <v>30.0</v>
      </c>
      <c r="D9" s="6">
        <v>6140.0</v>
      </c>
      <c r="E9" s="6">
        <v>4728.0</v>
      </c>
      <c r="F9" s="6">
        <v>1220.0</v>
      </c>
      <c r="G9" s="6">
        <v>527.0</v>
      </c>
      <c r="H9" s="6">
        <v>3505.0</v>
      </c>
      <c r="I9" s="6">
        <v>18641.0</v>
      </c>
      <c r="J9" s="6">
        <v>73.96</v>
      </c>
      <c r="K9" s="6" t="s">
        <v>51</v>
      </c>
    </row>
    <row r="10">
      <c r="A10" s="6" t="s">
        <v>11</v>
      </c>
      <c r="B10" s="6" t="s">
        <v>12</v>
      </c>
      <c r="C10" s="6">
        <v>10.0</v>
      </c>
      <c r="D10" s="6">
        <v>19177.0</v>
      </c>
      <c r="E10" s="6">
        <v>1416.0</v>
      </c>
      <c r="F10" s="6">
        <v>161.0</v>
      </c>
      <c r="G10" s="6">
        <v>1358.0</v>
      </c>
      <c r="H10" s="6">
        <v>4052.0</v>
      </c>
      <c r="I10" s="6">
        <v>17848.0</v>
      </c>
      <c r="J10" s="6">
        <v>106.97</v>
      </c>
      <c r="K10" s="6" t="s">
        <v>50</v>
      </c>
    </row>
    <row r="11">
      <c r="A11" s="6" t="s">
        <v>15</v>
      </c>
      <c r="B11" s="6" t="s">
        <v>13</v>
      </c>
      <c r="C11" s="6">
        <v>25.0</v>
      </c>
      <c r="D11" s="6">
        <v>13458.0</v>
      </c>
      <c r="E11" s="6">
        <v>2957.0</v>
      </c>
      <c r="F11" s="6">
        <v>664.0</v>
      </c>
      <c r="G11" s="6">
        <v>1445.0</v>
      </c>
      <c r="H11" s="6">
        <v>518.0</v>
      </c>
      <c r="I11" s="6">
        <v>15062.0</v>
      </c>
      <c r="J11" s="6">
        <v>85.35</v>
      </c>
      <c r="K11" s="6" t="s">
        <v>51</v>
      </c>
    </row>
    <row r="12">
      <c r="A12" s="6" t="s">
        <v>14</v>
      </c>
      <c r="B12" s="6" t="s">
        <v>11</v>
      </c>
      <c r="C12" s="6">
        <v>20.0</v>
      </c>
      <c r="D12" s="6">
        <v>15037.0</v>
      </c>
      <c r="E12" s="6">
        <v>1224.0</v>
      </c>
      <c r="F12" s="6">
        <v>1631.0</v>
      </c>
      <c r="G12" s="6">
        <v>1351.0</v>
      </c>
      <c r="H12" s="6">
        <v>2742.0</v>
      </c>
      <c r="I12" s="6">
        <v>7774.0</v>
      </c>
      <c r="J12" s="6">
        <v>115.52</v>
      </c>
      <c r="K12" s="6" t="s">
        <v>50</v>
      </c>
    </row>
    <row r="13">
      <c r="A13" s="6" t="s">
        <v>15</v>
      </c>
      <c r="B13" s="6" t="s">
        <v>15</v>
      </c>
      <c r="C13" s="6">
        <v>10.0</v>
      </c>
      <c r="D13" s="6">
        <v>6708.0</v>
      </c>
      <c r="E13" s="6">
        <v>2687.0</v>
      </c>
      <c r="F13" s="6">
        <v>973.0</v>
      </c>
      <c r="G13" s="6">
        <v>690.0</v>
      </c>
      <c r="H13" s="6">
        <v>6818.0</v>
      </c>
      <c r="I13" s="6">
        <v>16160.0</v>
      </c>
      <c r="J13" s="6">
        <v>127.44</v>
      </c>
      <c r="K13" s="6" t="s">
        <v>51</v>
      </c>
      <c r="X13" s="29"/>
      <c r="Y13" s="30"/>
    </row>
    <row r="14">
      <c r="A14" s="6" t="s">
        <v>12</v>
      </c>
      <c r="B14" s="6" t="s">
        <v>14</v>
      </c>
      <c r="C14" s="6">
        <v>15.0</v>
      </c>
      <c r="D14" s="6">
        <v>8630.0</v>
      </c>
      <c r="E14" s="6">
        <v>1123.0</v>
      </c>
      <c r="F14" s="6">
        <v>1567.0</v>
      </c>
      <c r="G14" s="6">
        <v>1115.0</v>
      </c>
      <c r="H14" s="6">
        <v>5597.0</v>
      </c>
      <c r="I14" s="6">
        <v>2230.0</v>
      </c>
      <c r="J14" s="6">
        <v>63.89</v>
      </c>
      <c r="K14" s="6" t="s">
        <v>50</v>
      </c>
      <c r="Y14" s="31"/>
    </row>
    <row r="15">
      <c r="A15" s="6" t="s">
        <v>15</v>
      </c>
      <c r="B15" s="6" t="s">
        <v>12</v>
      </c>
      <c r="C15" s="6">
        <v>10.0</v>
      </c>
      <c r="D15" s="6">
        <v>8211.0</v>
      </c>
      <c r="E15" s="6">
        <v>1478.0</v>
      </c>
      <c r="F15" s="6">
        <v>1578.0</v>
      </c>
      <c r="G15" s="6">
        <v>434.0</v>
      </c>
      <c r="H15" s="6">
        <v>9140.0</v>
      </c>
      <c r="I15" s="6">
        <v>10076.0</v>
      </c>
      <c r="J15" s="6">
        <v>127.48</v>
      </c>
      <c r="K15" s="6" t="s">
        <v>50</v>
      </c>
      <c r="Y15" s="31"/>
    </row>
    <row r="16">
      <c r="A16" s="6" t="s">
        <v>12</v>
      </c>
      <c r="B16" s="6" t="s">
        <v>11</v>
      </c>
      <c r="C16" s="6">
        <v>30.0</v>
      </c>
      <c r="D16" s="6">
        <v>15485.0</v>
      </c>
      <c r="E16" s="6">
        <v>3474.0</v>
      </c>
      <c r="F16" s="6">
        <v>524.0</v>
      </c>
      <c r="G16" s="6">
        <v>1237.0</v>
      </c>
      <c r="H16" s="6">
        <v>2448.0</v>
      </c>
      <c r="I16" s="6">
        <v>4805.0</v>
      </c>
      <c r="J16" s="6">
        <v>91.78</v>
      </c>
      <c r="K16" s="6" t="s">
        <v>51</v>
      </c>
      <c r="Y16" s="31"/>
    </row>
    <row r="17">
      <c r="A17" s="6" t="s">
        <v>15</v>
      </c>
      <c r="B17" s="6" t="s">
        <v>13</v>
      </c>
      <c r="C17" s="6">
        <v>25.0</v>
      </c>
      <c r="D17" s="6">
        <v>16924.0</v>
      </c>
      <c r="E17" s="6">
        <v>1619.0</v>
      </c>
      <c r="F17" s="6">
        <v>885.0</v>
      </c>
      <c r="G17" s="6">
        <v>1028.0</v>
      </c>
      <c r="H17" s="6">
        <v>9637.0</v>
      </c>
      <c r="I17" s="6">
        <v>15715.0</v>
      </c>
      <c r="J17" s="6">
        <v>97.38</v>
      </c>
      <c r="K17" s="6" t="s">
        <v>51</v>
      </c>
    </row>
    <row r="18">
      <c r="A18" s="6" t="s">
        <v>11</v>
      </c>
      <c r="B18" s="6" t="s">
        <v>12</v>
      </c>
      <c r="C18" s="6">
        <v>25.0</v>
      </c>
      <c r="D18" s="6">
        <v>17021.0</v>
      </c>
      <c r="E18" s="6">
        <v>326.0</v>
      </c>
      <c r="F18" s="6">
        <v>1963.0</v>
      </c>
      <c r="G18" s="6">
        <v>396.0</v>
      </c>
      <c r="H18" s="6">
        <v>6118.0</v>
      </c>
      <c r="I18" s="6">
        <v>6750.0</v>
      </c>
      <c r="J18" s="6">
        <v>81.75</v>
      </c>
      <c r="K18" s="6" t="s">
        <v>51</v>
      </c>
    </row>
    <row r="19">
      <c r="A19" s="6" t="s">
        <v>11</v>
      </c>
      <c r="B19" s="6" t="s">
        <v>13</v>
      </c>
      <c r="C19" s="6">
        <v>10.0</v>
      </c>
      <c r="D19" s="6">
        <v>11538.0</v>
      </c>
      <c r="E19" s="6">
        <v>991.0</v>
      </c>
      <c r="F19" s="6">
        <v>320.0</v>
      </c>
      <c r="G19" s="6">
        <v>787.0</v>
      </c>
      <c r="H19" s="6">
        <v>4736.0</v>
      </c>
      <c r="I19" s="6">
        <v>16627.0</v>
      </c>
      <c r="J19" s="6">
        <v>103.77</v>
      </c>
      <c r="K19" s="6" t="s">
        <v>51</v>
      </c>
    </row>
    <row r="20">
      <c r="A20" s="6" t="s">
        <v>11</v>
      </c>
      <c r="B20" s="6" t="s">
        <v>14</v>
      </c>
      <c r="C20" s="6">
        <v>20.0</v>
      </c>
      <c r="D20" s="6">
        <v>14702.0</v>
      </c>
      <c r="E20" s="6">
        <v>4172.0</v>
      </c>
      <c r="F20" s="6">
        <v>470.0</v>
      </c>
      <c r="G20" s="6">
        <v>107.0</v>
      </c>
      <c r="H20" s="6">
        <v>7401.0</v>
      </c>
      <c r="I20" s="6">
        <v>14232.0</v>
      </c>
      <c r="J20" s="6">
        <v>101.34</v>
      </c>
      <c r="K20" s="6" t="s">
        <v>50</v>
      </c>
    </row>
    <row r="21">
      <c r="A21" s="6" t="s">
        <v>11</v>
      </c>
      <c r="B21" s="6" t="s">
        <v>15</v>
      </c>
      <c r="C21" s="6">
        <v>15.0</v>
      </c>
      <c r="D21" s="6">
        <v>5475.0</v>
      </c>
      <c r="E21" s="6">
        <v>2357.0</v>
      </c>
      <c r="F21" s="6">
        <v>1970.0</v>
      </c>
      <c r="G21" s="6">
        <v>1378.0</v>
      </c>
      <c r="H21" s="6">
        <v>2420.0</v>
      </c>
      <c r="I21" s="6">
        <v>4135.0</v>
      </c>
      <c r="J21" s="6">
        <v>121.54</v>
      </c>
      <c r="K21" s="6" t="s">
        <v>50</v>
      </c>
    </row>
    <row r="22">
      <c r="A22" s="6" t="s">
        <v>11</v>
      </c>
      <c r="B22" s="6" t="s">
        <v>12</v>
      </c>
      <c r="C22" s="6">
        <v>25.0</v>
      </c>
      <c r="D22" s="6">
        <v>12684.0</v>
      </c>
      <c r="E22" s="6">
        <v>2888.0</v>
      </c>
      <c r="F22" s="6">
        <v>756.0</v>
      </c>
      <c r="G22" s="6">
        <v>217.0</v>
      </c>
      <c r="H22" s="6">
        <v>4688.0</v>
      </c>
      <c r="I22" s="6">
        <v>7953.0</v>
      </c>
      <c r="J22" s="6">
        <v>85.17</v>
      </c>
      <c r="K22" s="6" t="s">
        <v>50</v>
      </c>
    </row>
    <row r="23">
      <c r="A23" s="6" t="s">
        <v>11</v>
      </c>
      <c r="B23" s="6" t="s">
        <v>12</v>
      </c>
      <c r="C23" s="6">
        <v>30.0</v>
      </c>
      <c r="D23" s="6">
        <v>14168.0</v>
      </c>
      <c r="E23" s="6">
        <v>496.0</v>
      </c>
      <c r="F23" s="6">
        <v>1440.0</v>
      </c>
      <c r="G23" s="6">
        <v>595.0</v>
      </c>
      <c r="H23" s="6">
        <v>738.0</v>
      </c>
      <c r="I23" s="6">
        <v>2546.0</v>
      </c>
      <c r="J23" s="6">
        <v>133.22</v>
      </c>
      <c r="K23" s="6" t="s">
        <v>51</v>
      </c>
    </row>
    <row r="24">
      <c r="A24" s="6" t="s">
        <v>12</v>
      </c>
      <c r="B24" s="6" t="s">
        <v>14</v>
      </c>
      <c r="C24" s="6">
        <v>30.0</v>
      </c>
      <c r="D24" s="6">
        <v>6207.0</v>
      </c>
      <c r="E24" s="6">
        <v>2178.0</v>
      </c>
      <c r="F24" s="6">
        <v>1353.0</v>
      </c>
      <c r="G24" s="6">
        <v>175.0</v>
      </c>
      <c r="H24" s="6">
        <v>704.0</v>
      </c>
      <c r="I24" s="6">
        <v>16457.0</v>
      </c>
      <c r="J24" s="6">
        <v>113.29</v>
      </c>
      <c r="K24" s="6" t="s">
        <v>50</v>
      </c>
    </row>
    <row r="25">
      <c r="A25" s="6" t="s">
        <v>14</v>
      </c>
      <c r="B25" s="6" t="s">
        <v>11</v>
      </c>
      <c r="C25" s="6">
        <v>20.0</v>
      </c>
      <c r="D25" s="6">
        <v>18331.0</v>
      </c>
      <c r="E25" s="6">
        <v>4844.0</v>
      </c>
      <c r="F25" s="6">
        <v>1356.0</v>
      </c>
      <c r="G25" s="6">
        <v>31.0</v>
      </c>
      <c r="H25" s="6">
        <v>6052.0</v>
      </c>
      <c r="I25" s="6">
        <v>18478.0</v>
      </c>
      <c r="J25" s="6">
        <v>101.82</v>
      </c>
      <c r="K25" s="6" t="s">
        <v>50</v>
      </c>
    </row>
    <row r="26">
      <c r="A26" s="6" t="s">
        <v>15</v>
      </c>
      <c r="B26" s="6" t="s">
        <v>15</v>
      </c>
      <c r="C26" s="6">
        <v>25.0</v>
      </c>
      <c r="D26" s="6">
        <v>6960.0</v>
      </c>
      <c r="E26" s="6">
        <v>4524.0</v>
      </c>
      <c r="F26" s="6">
        <v>89.0</v>
      </c>
      <c r="G26" s="6">
        <v>163.0</v>
      </c>
      <c r="H26" s="6">
        <v>5427.0</v>
      </c>
      <c r="I26" s="6">
        <v>3411.0</v>
      </c>
      <c r="J26" s="6">
        <v>96.38</v>
      </c>
      <c r="K26" s="6" t="s">
        <v>51</v>
      </c>
    </row>
    <row r="27">
      <c r="A27" s="6" t="s">
        <v>11</v>
      </c>
      <c r="B27" s="6" t="s">
        <v>12</v>
      </c>
      <c r="C27" s="6">
        <v>10.0</v>
      </c>
      <c r="D27" s="6">
        <v>5557.0</v>
      </c>
      <c r="E27" s="6">
        <v>3337.0</v>
      </c>
      <c r="F27" s="6">
        <v>238.0</v>
      </c>
      <c r="G27" s="6">
        <v>1472.0</v>
      </c>
      <c r="H27" s="6">
        <v>4890.0</v>
      </c>
      <c r="I27" s="6">
        <v>15113.0</v>
      </c>
      <c r="J27" s="6">
        <v>93.87</v>
      </c>
      <c r="K27" s="6" t="s">
        <v>51</v>
      </c>
    </row>
    <row r="28">
      <c r="A28" s="6" t="s">
        <v>12</v>
      </c>
      <c r="B28" s="6" t="s">
        <v>15</v>
      </c>
      <c r="C28" s="6">
        <v>30.0</v>
      </c>
      <c r="D28" s="6">
        <v>18305.0</v>
      </c>
      <c r="E28" s="6">
        <v>3993.0</v>
      </c>
      <c r="F28" s="6">
        <v>1237.0</v>
      </c>
      <c r="G28" s="6">
        <v>1328.0</v>
      </c>
      <c r="H28" s="6">
        <v>3187.0</v>
      </c>
      <c r="I28" s="6">
        <v>5145.0</v>
      </c>
      <c r="J28" s="6">
        <v>95.17</v>
      </c>
      <c r="K28" s="6" t="s">
        <v>50</v>
      </c>
    </row>
    <row r="29">
      <c r="A29" s="6" t="s">
        <v>12</v>
      </c>
      <c r="B29" s="6" t="s">
        <v>12</v>
      </c>
      <c r="C29" s="6">
        <v>20.0</v>
      </c>
      <c r="D29" s="6">
        <v>18893.0</v>
      </c>
      <c r="E29" s="6">
        <v>2105.0</v>
      </c>
      <c r="F29" s="6">
        <v>1043.0</v>
      </c>
      <c r="G29" s="6">
        <v>228.0</v>
      </c>
      <c r="H29" s="6">
        <v>5451.0</v>
      </c>
      <c r="I29" s="6">
        <v>3775.0</v>
      </c>
      <c r="J29" s="6">
        <v>103.37</v>
      </c>
      <c r="K29" s="6" t="s">
        <v>51</v>
      </c>
    </row>
    <row r="30">
      <c r="A30" s="6" t="s">
        <v>12</v>
      </c>
      <c r="B30" s="6" t="s">
        <v>15</v>
      </c>
      <c r="C30" s="6">
        <v>25.0</v>
      </c>
      <c r="D30" s="6">
        <v>5882.0</v>
      </c>
      <c r="E30" s="6">
        <v>2116.0</v>
      </c>
      <c r="F30" s="6">
        <v>1609.0</v>
      </c>
      <c r="G30" s="6">
        <v>678.0</v>
      </c>
      <c r="H30" s="6">
        <v>6660.0</v>
      </c>
      <c r="I30" s="6">
        <v>14193.0</v>
      </c>
      <c r="J30" s="6">
        <v>95.82</v>
      </c>
      <c r="K30" s="6" t="s">
        <v>50</v>
      </c>
    </row>
    <row r="31">
      <c r="A31" s="6" t="s">
        <v>14</v>
      </c>
      <c r="B31" s="6" t="s">
        <v>13</v>
      </c>
      <c r="C31" s="6">
        <v>25.0</v>
      </c>
      <c r="D31" s="6">
        <v>15386.0</v>
      </c>
      <c r="E31" s="6">
        <v>3271.0</v>
      </c>
      <c r="F31" s="6">
        <v>585.0</v>
      </c>
      <c r="G31" s="6">
        <v>239.0</v>
      </c>
      <c r="H31" s="6">
        <v>5888.0</v>
      </c>
      <c r="I31" s="6">
        <v>13851.0</v>
      </c>
      <c r="J31" s="6">
        <v>87.19</v>
      </c>
      <c r="K31" s="6" t="s">
        <v>50</v>
      </c>
      <c r="N31" s="32" t="s">
        <v>65</v>
      </c>
    </row>
    <row r="32">
      <c r="A32" s="6" t="s">
        <v>15</v>
      </c>
      <c r="B32" s="6" t="s">
        <v>12</v>
      </c>
      <c r="C32" s="6">
        <v>25.0</v>
      </c>
      <c r="D32" s="6">
        <v>9761.0</v>
      </c>
      <c r="E32" s="6">
        <v>2768.0</v>
      </c>
      <c r="F32" s="6">
        <v>1077.0</v>
      </c>
      <c r="G32" s="6">
        <v>29.0</v>
      </c>
      <c r="H32" s="6">
        <v>5626.0</v>
      </c>
      <c r="I32" s="6">
        <v>14070.0</v>
      </c>
      <c r="J32" s="6">
        <v>103.49</v>
      </c>
      <c r="K32" s="6" t="s">
        <v>51</v>
      </c>
      <c r="P32" s="1" t="s">
        <v>66</v>
      </c>
      <c r="Q32" s="1" t="s">
        <v>67</v>
      </c>
      <c r="R32" s="1" t="s">
        <v>68</v>
      </c>
      <c r="S32" s="1" t="s">
        <v>69</v>
      </c>
      <c r="T32" s="1" t="s">
        <v>6</v>
      </c>
      <c r="U32" s="1" t="s">
        <v>55</v>
      </c>
      <c r="V32" s="1" t="s">
        <v>70</v>
      </c>
      <c r="W32" s="1" t="s">
        <v>71</v>
      </c>
      <c r="X32" s="1" t="s">
        <v>72</v>
      </c>
    </row>
    <row r="33">
      <c r="A33" s="6" t="s">
        <v>14</v>
      </c>
      <c r="B33" s="6" t="s">
        <v>15</v>
      </c>
      <c r="C33" s="6">
        <v>25.0</v>
      </c>
      <c r="D33" s="6">
        <v>15859.0</v>
      </c>
      <c r="E33" s="6">
        <v>1978.0</v>
      </c>
      <c r="F33" s="6">
        <v>1908.0</v>
      </c>
      <c r="G33" s="6">
        <v>562.0</v>
      </c>
      <c r="H33" s="6">
        <v>1316.0</v>
      </c>
      <c r="I33" s="6">
        <v>4970.0</v>
      </c>
      <c r="J33" s="6">
        <v>83.27</v>
      </c>
      <c r="K33" s="6" t="s">
        <v>50</v>
      </c>
    </row>
    <row r="34">
      <c r="A34" s="6" t="s">
        <v>13</v>
      </c>
      <c r="B34" s="6" t="s">
        <v>11</v>
      </c>
      <c r="C34" s="6">
        <v>25.0</v>
      </c>
      <c r="D34" s="6">
        <v>10867.0</v>
      </c>
      <c r="E34" s="6">
        <v>1296.0</v>
      </c>
      <c r="F34" s="6">
        <v>339.0</v>
      </c>
      <c r="G34" s="6">
        <v>959.0</v>
      </c>
      <c r="H34" s="6">
        <v>9512.0</v>
      </c>
      <c r="I34" s="6">
        <v>15119.0</v>
      </c>
      <c r="J34" s="6">
        <v>106.45</v>
      </c>
      <c r="K34" s="6" t="s">
        <v>51</v>
      </c>
      <c r="O34" s="1" t="s">
        <v>50</v>
      </c>
      <c r="P34" s="15">
        <f t="shared" ref="P34:P35" si="20">SUMIF(K:K,O34,D:D)</f>
        <v>1952259</v>
      </c>
      <c r="Q34" s="15">
        <f t="shared" ref="Q34:Q35" si="21">SUMIF(K:K,O34,E:E)</f>
        <v>417131</v>
      </c>
      <c r="R34" s="15">
        <f t="shared" ref="R34:R35" si="22">SUMIF(K:K,O34,F:F)</f>
        <v>169634</v>
      </c>
      <c r="S34" s="15">
        <f t="shared" ref="S34:S35" si="23">SUMIF(K:K,O34,G:G)</f>
        <v>117468</v>
      </c>
      <c r="T34" s="15">
        <f t="shared" ref="T34:T35" si="24">SUMIF(K:K,O34,I:I)</f>
        <v>1727502</v>
      </c>
      <c r="U34" s="7">
        <f t="shared" ref="U34:X34" si="19">Q34/P34</f>
        <v>0.2136658097</v>
      </c>
      <c r="V34" s="7">
        <f t="shared" si="19"/>
        <v>0.4066684087</v>
      </c>
      <c r="W34" s="7">
        <f t="shared" si="19"/>
        <v>0.6924791021</v>
      </c>
      <c r="X34" s="15">
        <f t="shared" si="19"/>
        <v>14.70614976</v>
      </c>
    </row>
    <row r="35">
      <c r="A35" s="6" t="s">
        <v>12</v>
      </c>
      <c r="B35" s="6" t="s">
        <v>13</v>
      </c>
      <c r="C35" s="6">
        <v>30.0</v>
      </c>
      <c r="D35" s="6">
        <v>11963.0</v>
      </c>
      <c r="E35" s="6">
        <v>1872.0</v>
      </c>
      <c r="F35" s="6">
        <v>482.0</v>
      </c>
      <c r="G35" s="6">
        <v>157.0</v>
      </c>
      <c r="H35" s="6">
        <v>692.0</v>
      </c>
      <c r="I35" s="6">
        <v>5331.0</v>
      </c>
      <c r="J35" s="6">
        <v>95.54</v>
      </c>
      <c r="K35" s="6" t="s">
        <v>51</v>
      </c>
      <c r="O35" s="1" t="s">
        <v>51</v>
      </c>
      <c r="P35" s="15">
        <f t="shared" si="20"/>
        <v>1746857</v>
      </c>
      <c r="Q35" s="15">
        <f t="shared" si="21"/>
        <v>365914</v>
      </c>
      <c r="R35" s="15">
        <f t="shared" si="22"/>
        <v>142584</v>
      </c>
      <c r="S35" s="15">
        <f t="shared" si="23"/>
        <v>104217</v>
      </c>
      <c r="T35" s="15">
        <f t="shared" si="24"/>
        <v>1493570</v>
      </c>
      <c r="U35" s="7">
        <f t="shared" ref="U35:X35" si="25">Q35/P35</f>
        <v>0.2094699223</v>
      </c>
      <c r="V35" s="7">
        <f t="shared" si="25"/>
        <v>0.3896653312</v>
      </c>
      <c r="W35" s="7">
        <f t="shared" si="25"/>
        <v>0.7309165124</v>
      </c>
      <c r="X35" s="15">
        <f t="shared" si="25"/>
        <v>14.33134709</v>
      </c>
    </row>
    <row r="36">
      <c r="A36" s="6" t="s">
        <v>13</v>
      </c>
      <c r="B36" s="6" t="s">
        <v>13</v>
      </c>
      <c r="C36" s="6">
        <v>20.0</v>
      </c>
      <c r="D36" s="6">
        <v>18151.0</v>
      </c>
      <c r="E36" s="6">
        <v>261.0</v>
      </c>
      <c r="F36" s="6">
        <v>520.0</v>
      </c>
      <c r="G36" s="6">
        <v>1141.0</v>
      </c>
      <c r="H36" s="6">
        <v>2276.0</v>
      </c>
      <c r="I36" s="6">
        <v>11295.0</v>
      </c>
      <c r="J36" s="6">
        <v>113.93</v>
      </c>
      <c r="K36" s="6" t="s">
        <v>50</v>
      </c>
    </row>
    <row r="37">
      <c r="A37" s="6" t="s">
        <v>11</v>
      </c>
      <c r="B37" s="6" t="s">
        <v>11</v>
      </c>
      <c r="C37" s="6">
        <v>25.0</v>
      </c>
      <c r="D37" s="6">
        <v>17869.0</v>
      </c>
      <c r="E37" s="6">
        <v>4076.0</v>
      </c>
      <c r="F37" s="6">
        <v>1254.0</v>
      </c>
      <c r="G37" s="6">
        <v>412.0</v>
      </c>
      <c r="H37" s="6">
        <v>4145.0</v>
      </c>
      <c r="I37" s="6">
        <v>2942.0</v>
      </c>
      <c r="J37" s="6">
        <v>119.78</v>
      </c>
      <c r="K37" s="6" t="s">
        <v>50</v>
      </c>
    </row>
    <row r="38">
      <c r="A38" s="6" t="s">
        <v>11</v>
      </c>
      <c r="B38" s="6" t="s">
        <v>15</v>
      </c>
      <c r="C38" s="6">
        <v>15.0</v>
      </c>
      <c r="D38" s="6">
        <v>12166.0</v>
      </c>
      <c r="E38" s="6">
        <v>1851.0</v>
      </c>
      <c r="F38" s="6">
        <v>1321.0</v>
      </c>
      <c r="G38" s="6">
        <v>605.0</v>
      </c>
      <c r="H38" s="6">
        <v>6814.0</v>
      </c>
      <c r="I38" s="6">
        <v>17575.0</v>
      </c>
      <c r="J38" s="6">
        <v>119.77</v>
      </c>
      <c r="K38" s="6" t="s">
        <v>50</v>
      </c>
    </row>
    <row r="39">
      <c r="A39" s="6" t="s">
        <v>14</v>
      </c>
      <c r="B39" s="6" t="s">
        <v>14</v>
      </c>
      <c r="C39" s="6">
        <v>15.0</v>
      </c>
      <c r="D39" s="6">
        <v>17982.0</v>
      </c>
      <c r="E39" s="6">
        <v>875.0</v>
      </c>
      <c r="F39" s="6">
        <v>677.0</v>
      </c>
      <c r="G39" s="6">
        <v>376.0</v>
      </c>
      <c r="H39" s="6">
        <v>8942.0</v>
      </c>
      <c r="I39" s="6">
        <v>14404.0</v>
      </c>
      <c r="J39" s="6">
        <v>106.36</v>
      </c>
      <c r="K39" s="6" t="s">
        <v>51</v>
      </c>
    </row>
    <row r="40">
      <c r="A40" s="6" t="s">
        <v>15</v>
      </c>
      <c r="B40" s="6" t="s">
        <v>11</v>
      </c>
      <c r="C40" s="6">
        <v>20.0</v>
      </c>
      <c r="D40" s="6">
        <v>12929.0</v>
      </c>
      <c r="E40" s="6">
        <v>1039.0</v>
      </c>
      <c r="F40" s="6">
        <v>328.0</v>
      </c>
      <c r="G40" s="6">
        <v>1447.0</v>
      </c>
      <c r="H40" s="6">
        <v>2288.0</v>
      </c>
      <c r="I40" s="6">
        <v>1861.0</v>
      </c>
      <c r="J40" s="6">
        <v>108.7</v>
      </c>
      <c r="K40" s="6" t="s">
        <v>50</v>
      </c>
      <c r="O40" s="4" t="str">
        <f t="array" ref="O40:O46">UNIQUE(C:C)</f>
        <v>Discount Offered (%)</v>
      </c>
      <c r="P40" s="1" t="s">
        <v>66</v>
      </c>
      <c r="Q40" s="1" t="s">
        <v>67</v>
      </c>
      <c r="R40" s="1" t="s">
        <v>68</v>
      </c>
      <c r="S40" s="1" t="s">
        <v>69</v>
      </c>
      <c r="T40" s="1" t="s">
        <v>6</v>
      </c>
      <c r="U40" s="1" t="s">
        <v>1</v>
      </c>
      <c r="V40" s="1" t="s">
        <v>60</v>
      </c>
    </row>
    <row r="41">
      <c r="A41" s="6" t="s">
        <v>13</v>
      </c>
      <c r="B41" s="6" t="s">
        <v>15</v>
      </c>
      <c r="C41" s="6">
        <v>10.0</v>
      </c>
      <c r="D41" s="6">
        <v>10347.0</v>
      </c>
      <c r="E41" s="6">
        <v>3320.0</v>
      </c>
      <c r="F41" s="6">
        <v>926.0</v>
      </c>
      <c r="G41" s="6">
        <v>1342.0</v>
      </c>
      <c r="H41" s="6">
        <v>7874.0</v>
      </c>
      <c r="I41" s="6">
        <v>10275.0</v>
      </c>
      <c r="J41" s="6">
        <v>93.54</v>
      </c>
      <c r="K41" s="6" t="s">
        <v>51</v>
      </c>
      <c r="O41" s="4">
        <v>30.0</v>
      </c>
      <c r="P41" s="15">
        <f t="shared" ref="P41:P45" si="26">SUMIF(C:C,O41,D:D)</f>
        <v>870636</v>
      </c>
      <c r="Q41" s="15">
        <f t="shared" ref="Q41:Q45" si="27">SUMIF(C:C,O41,E:E)</f>
        <v>188308</v>
      </c>
      <c r="R41" s="15">
        <f t="shared" ref="R41:R45" si="28">SUMIF(C:C,O41,F:F)</f>
        <v>69723</v>
      </c>
      <c r="S41" s="15">
        <f t="shared" ref="S41:S45" si="29">SUMIF(C:C,O41,G:G)</f>
        <v>46270</v>
      </c>
      <c r="T41" s="15">
        <f t="shared" ref="T41:T45" si="30">SUMIF(C:C,O41,I:I)</f>
        <v>770733</v>
      </c>
      <c r="U41" s="15">
        <f t="shared" ref="U41:U45" si="31">SUMIF(C:C,O41,H:H)</f>
        <v>340897</v>
      </c>
      <c r="V41" s="7">
        <f t="shared" ref="V41:V45" si="32">(T41-U41)/U41</f>
        <v>1.260896986</v>
      </c>
    </row>
    <row r="42">
      <c r="A42" s="6" t="s">
        <v>15</v>
      </c>
      <c r="B42" s="6" t="s">
        <v>11</v>
      </c>
      <c r="C42" s="6">
        <v>10.0</v>
      </c>
      <c r="D42" s="6">
        <v>12269.0</v>
      </c>
      <c r="E42" s="6">
        <v>639.0</v>
      </c>
      <c r="F42" s="6">
        <v>630.0</v>
      </c>
      <c r="G42" s="6">
        <v>811.0</v>
      </c>
      <c r="H42" s="6">
        <v>4200.0</v>
      </c>
      <c r="I42" s="6">
        <v>18033.0</v>
      </c>
      <c r="J42" s="6">
        <v>113.55</v>
      </c>
      <c r="K42" s="6" t="s">
        <v>51</v>
      </c>
      <c r="O42" s="4">
        <v>20.0</v>
      </c>
      <c r="P42" s="15">
        <f t="shared" si="26"/>
        <v>848097</v>
      </c>
      <c r="Q42" s="15">
        <f t="shared" si="27"/>
        <v>146068</v>
      </c>
      <c r="R42" s="15">
        <f t="shared" si="28"/>
        <v>65851</v>
      </c>
      <c r="S42" s="15">
        <f t="shared" si="29"/>
        <v>50677</v>
      </c>
      <c r="T42" s="15">
        <f t="shared" si="30"/>
        <v>721752</v>
      </c>
      <c r="U42" s="15">
        <f t="shared" si="31"/>
        <v>351195</v>
      </c>
      <c r="V42" s="7">
        <f t="shared" si="32"/>
        <v>1.055131764</v>
      </c>
    </row>
    <row r="43">
      <c r="A43" s="6" t="s">
        <v>14</v>
      </c>
      <c r="B43" s="6" t="s">
        <v>11</v>
      </c>
      <c r="C43" s="6">
        <v>10.0</v>
      </c>
      <c r="D43" s="6">
        <v>14802.0</v>
      </c>
      <c r="E43" s="6">
        <v>1561.0</v>
      </c>
      <c r="F43" s="6">
        <v>912.0</v>
      </c>
      <c r="G43" s="6">
        <v>927.0</v>
      </c>
      <c r="H43" s="6">
        <v>9859.0</v>
      </c>
      <c r="I43" s="6">
        <v>5134.0</v>
      </c>
      <c r="J43" s="6">
        <v>115.81</v>
      </c>
      <c r="K43" s="6" t="s">
        <v>50</v>
      </c>
      <c r="O43" s="33">
        <v>25.0</v>
      </c>
      <c r="P43" s="15">
        <f t="shared" si="26"/>
        <v>681770</v>
      </c>
      <c r="Q43" s="15">
        <f t="shared" si="27"/>
        <v>156554</v>
      </c>
      <c r="R43" s="15">
        <f t="shared" si="28"/>
        <v>59782</v>
      </c>
      <c r="S43" s="15">
        <f t="shared" si="29"/>
        <v>43806</v>
      </c>
      <c r="T43" s="15">
        <f t="shared" si="30"/>
        <v>635700</v>
      </c>
      <c r="U43" s="15">
        <f t="shared" si="31"/>
        <v>281016</v>
      </c>
      <c r="V43" s="7">
        <f t="shared" si="32"/>
        <v>1.262148774</v>
      </c>
    </row>
    <row r="44">
      <c r="A44" s="6" t="s">
        <v>11</v>
      </c>
      <c r="B44" s="6" t="s">
        <v>12</v>
      </c>
      <c r="C44" s="6">
        <v>15.0</v>
      </c>
      <c r="D44" s="6">
        <v>16680.0</v>
      </c>
      <c r="E44" s="6">
        <v>455.0</v>
      </c>
      <c r="F44" s="6">
        <v>303.0</v>
      </c>
      <c r="G44" s="6">
        <v>1167.0</v>
      </c>
      <c r="H44" s="6">
        <v>4393.0</v>
      </c>
      <c r="I44" s="6">
        <v>12803.0</v>
      </c>
      <c r="J44" s="6">
        <v>68.65</v>
      </c>
      <c r="K44" s="6" t="s">
        <v>51</v>
      </c>
      <c r="O44" s="4">
        <v>10.0</v>
      </c>
      <c r="P44" s="15">
        <f t="shared" si="26"/>
        <v>749909</v>
      </c>
      <c r="Q44" s="15">
        <f t="shared" si="27"/>
        <v>173732</v>
      </c>
      <c r="R44" s="15">
        <f t="shared" si="28"/>
        <v>66825</v>
      </c>
      <c r="S44" s="15">
        <f t="shared" si="29"/>
        <v>45853</v>
      </c>
      <c r="T44" s="15">
        <f t="shared" si="30"/>
        <v>640711</v>
      </c>
      <c r="U44" s="15">
        <f t="shared" si="31"/>
        <v>340069</v>
      </c>
      <c r="V44" s="7">
        <f t="shared" si="32"/>
        <v>0.8840617639</v>
      </c>
    </row>
    <row r="45">
      <c r="A45" s="6" t="s">
        <v>15</v>
      </c>
      <c r="B45" s="6" t="s">
        <v>15</v>
      </c>
      <c r="C45" s="6">
        <v>10.0</v>
      </c>
      <c r="D45" s="6">
        <v>13125.0</v>
      </c>
      <c r="E45" s="6">
        <v>3704.0</v>
      </c>
      <c r="F45" s="6">
        <v>230.0</v>
      </c>
      <c r="G45" s="6">
        <v>1316.0</v>
      </c>
      <c r="H45" s="6">
        <v>7311.0</v>
      </c>
      <c r="I45" s="6">
        <v>16408.0</v>
      </c>
      <c r="J45" s="6">
        <v>107.57</v>
      </c>
      <c r="K45" s="6" t="s">
        <v>50</v>
      </c>
      <c r="O45" s="4">
        <v>15.0</v>
      </c>
      <c r="P45" s="15">
        <f t="shared" si="26"/>
        <v>548704</v>
      </c>
      <c r="Q45" s="15">
        <f t="shared" si="27"/>
        <v>118383</v>
      </c>
      <c r="R45" s="15">
        <f t="shared" si="28"/>
        <v>50037</v>
      </c>
      <c r="S45" s="15">
        <f t="shared" si="29"/>
        <v>35079</v>
      </c>
      <c r="T45" s="15">
        <f t="shared" si="30"/>
        <v>452176</v>
      </c>
      <c r="U45" s="15">
        <f t="shared" si="31"/>
        <v>203237</v>
      </c>
      <c r="V45" s="7">
        <f t="shared" si="32"/>
        <v>1.224870471</v>
      </c>
    </row>
    <row r="46">
      <c r="A46" s="6" t="s">
        <v>15</v>
      </c>
      <c r="B46" s="6" t="s">
        <v>14</v>
      </c>
      <c r="C46" s="6">
        <v>30.0</v>
      </c>
      <c r="D46" s="6">
        <v>18527.0</v>
      </c>
      <c r="E46" s="6">
        <v>3423.0</v>
      </c>
      <c r="F46" s="6">
        <v>1903.0</v>
      </c>
      <c r="G46" s="6">
        <v>82.0</v>
      </c>
      <c r="H46" s="6">
        <v>9788.0</v>
      </c>
      <c r="I46" s="6">
        <v>18420.0</v>
      </c>
      <c r="J46" s="6">
        <v>127.36</v>
      </c>
      <c r="K46" s="6" t="s">
        <v>50</v>
      </c>
      <c r="O46" s="15"/>
    </row>
    <row r="47">
      <c r="A47" s="6" t="s">
        <v>11</v>
      </c>
      <c r="B47" s="6" t="s">
        <v>12</v>
      </c>
      <c r="C47" s="6">
        <v>25.0</v>
      </c>
      <c r="D47" s="6">
        <v>7454.0</v>
      </c>
      <c r="E47" s="6">
        <v>334.0</v>
      </c>
      <c r="F47" s="6">
        <v>730.0</v>
      </c>
      <c r="G47" s="6">
        <v>490.0</v>
      </c>
      <c r="H47" s="6">
        <v>3179.0</v>
      </c>
      <c r="I47" s="6">
        <v>17351.0</v>
      </c>
      <c r="J47" s="6">
        <v>92.87</v>
      </c>
      <c r="K47" s="6" t="s">
        <v>50</v>
      </c>
    </row>
    <row r="48">
      <c r="A48" s="6" t="s">
        <v>13</v>
      </c>
      <c r="B48" s="6" t="s">
        <v>11</v>
      </c>
      <c r="C48" s="6">
        <v>15.0</v>
      </c>
      <c r="D48" s="6">
        <v>9494.0</v>
      </c>
      <c r="E48" s="6">
        <v>1648.0</v>
      </c>
      <c r="F48" s="6">
        <v>874.0</v>
      </c>
      <c r="G48" s="6">
        <v>1385.0</v>
      </c>
      <c r="H48" s="6">
        <v>4404.0</v>
      </c>
      <c r="I48" s="6">
        <v>5131.0</v>
      </c>
      <c r="J48" s="6">
        <v>88.51</v>
      </c>
      <c r="K48" s="6" t="s">
        <v>50</v>
      </c>
    </row>
    <row r="49">
      <c r="A49" s="6" t="s">
        <v>11</v>
      </c>
      <c r="B49" s="6" t="s">
        <v>11</v>
      </c>
      <c r="C49" s="6">
        <v>20.0</v>
      </c>
      <c r="D49" s="6">
        <v>6946.0</v>
      </c>
      <c r="E49" s="6">
        <v>2196.0</v>
      </c>
      <c r="F49" s="6">
        <v>1582.0</v>
      </c>
      <c r="G49" s="6">
        <v>569.0</v>
      </c>
      <c r="H49" s="6">
        <v>7760.0</v>
      </c>
      <c r="I49" s="6">
        <v>19532.0</v>
      </c>
      <c r="J49" s="6">
        <v>91.6</v>
      </c>
      <c r="K49" s="6" t="s">
        <v>50</v>
      </c>
    </row>
    <row r="50">
      <c r="A50" s="6" t="s">
        <v>15</v>
      </c>
      <c r="B50" s="6" t="s">
        <v>11</v>
      </c>
      <c r="C50" s="6">
        <v>20.0</v>
      </c>
      <c r="D50" s="6">
        <v>18002.0</v>
      </c>
      <c r="E50" s="6">
        <v>4313.0</v>
      </c>
      <c r="F50" s="6">
        <v>1834.0</v>
      </c>
      <c r="G50" s="6">
        <v>1359.0</v>
      </c>
      <c r="H50" s="6">
        <v>1004.0</v>
      </c>
      <c r="I50" s="6">
        <v>13057.0</v>
      </c>
      <c r="J50" s="6">
        <v>69.9</v>
      </c>
      <c r="K50" s="6" t="s">
        <v>50</v>
      </c>
    </row>
    <row r="51">
      <c r="A51" s="6" t="s">
        <v>13</v>
      </c>
      <c r="B51" s="6" t="s">
        <v>15</v>
      </c>
      <c r="C51" s="6">
        <v>25.0</v>
      </c>
      <c r="D51" s="6">
        <v>17991.0</v>
      </c>
      <c r="E51" s="6">
        <v>2201.0</v>
      </c>
      <c r="F51" s="6">
        <v>749.0</v>
      </c>
      <c r="G51" s="6">
        <v>754.0</v>
      </c>
      <c r="H51" s="6">
        <v>7273.0</v>
      </c>
      <c r="I51" s="6">
        <v>12349.0</v>
      </c>
      <c r="J51" s="6">
        <v>102.52</v>
      </c>
      <c r="K51" s="6" t="s">
        <v>50</v>
      </c>
    </row>
    <row r="52">
      <c r="A52" s="6" t="s">
        <v>13</v>
      </c>
      <c r="B52" s="6" t="s">
        <v>15</v>
      </c>
      <c r="C52" s="6">
        <v>15.0</v>
      </c>
      <c r="D52" s="6">
        <v>7808.0</v>
      </c>
      <c r="E52" s="6">
        <v>1773.0</v>
      </c>
      <c r="F52" s="6">
        <v>615.0</v>
      </c>
      <c r="G52" s="6">
        <v>1476.0</v>
      </c>
      <c r="H52" s="6">
        <v>4316.0</v>
      </c>
      <c r="I52" s="6">
        <v>12486.0</v>
      </c>
      <c r="J52" s="6">
        <v>100.6</v>
      </c>
      <c r="K52" s="6" t="s">
        <v>51</v>
      </c>
    </row>
    <row r="53">
      <c r="A53" s="6" t="s">
        <v>11</v>
      </c>
      <c r="B53" s="6" t="s">
        <v>12</v>
      </c>
      <c r="C53" s="6">
        <v>10.0</v>
      </c>
      <c r="D53" s="6">
        <v>11642.0</v>
      </c>
      <c r="E53" s="6">
        <v>2200.0</v>
      </c>
      <c r="F53" s="6">
        <v>1399.0</v>
      </c>
      <c r="G53" s="6">
        <v>109.0</v>
      </c>
      <c r="H53" s="6">
        <v>1217.0</v>
      </c>
      <c r="I53" s="6">
        <v>6457.0</v>
      </c>
      <c r="J53" s="6">
        <v>103.94</v>
      </c>
      <c r="K53" s="6" t="s">
        <v>50</v>
      </c>
    </row>
    <row r="54">
      <c r="A54" s="6" t="s">
        <v>15</v>
      </c>
      <c r="B54" s="6" t="s">
        <v>14</v>
      </c>
      <c r="C54" s="6">
        <v>10.0</v>
      </c>
      <c r="D54" s="6">
        <v>8825.0</v>
      </c>
      <c r="E54" s="6">
        <v>3757.0</v>
      </c>
      <c r="F54" s="6">
        <v>1430.0</v>
      </c>
      <c r="G54" s="6">
        <v>1092.0</v>
      </c>
      <c r="H54" s="6">
        <v>4934.0</v>
      </c>
      <c r="I54" s="6">
        <v>7079.0</v>
      </c>
      <c r="J54" s="6">
        <v>108.32</v>
      </c>
      <c r="K54" s="6" t="s">
        <v>51</v>
      </c>
    </row>
    <row r="55">
      <c r="A55" s="6" t="s">
        <v>14</v>
      </c>
      <c r="B55" s="6" t="s">
        <v>12</v>
      </c>
      <c r="C55" s="6">
        <v>30.0</v>
      </c>
      <c r="D55" s="6">
        <v>8536.0</v>
      </c>
      <c r="E55" s="6">
        <v>4753.0</v>
      </c>
      <c r="F55" s="6">
        <v>1898.0</v>
      </c>
      <c r="G55" s="6">
        <v>517.0</v>
      </c>
      <c r="H55" s="6">
        <v>1158.0</v>
      </c>
      <c r="I55" s="6">
        <v>13453.0</v>
      </c>
      <c r="J55" s="6">
        <v>84.04</v>
      </c>
      <c r="K55" s="6" t="s">
        <v>51</v>
      </c>
    </row>
    <row r="56">
      <c r="A56" s="6" t="s">
        <v>15</v>
      </c>
      <c r="B56" s="6" t="s">
        <v>13</v>
      </c>
      <c r="C56" s="6">
        <v>30.0</v>
      </c>
      <c r="D56" s="6">
        <v>19002.0</v>
      </c>
      <c r="E56" s="6">
        <v>3696.0</v>
      </c>
      <c r="F56" s="6">
        <v>1723.0</v>
      </c>
      <c r="G56" s="6">
        <v>267.0</v>
      </c>
      <c r="H56" s="6">
        <v>5557.0</v>
      </c>
      <c r="I56" s="6">
        <v>19814.0</v>
      </c>
      <c r="J56" s="6">
        <v>105.46</v>
      </c>
      <c r="K56" s="6" t="s">
        <v>51</v>
      </c>
    </row>
    <row r="57">
      <c r="A57" s="6" t="s">
        <v>12</v>
      </c>
      <c r="B57" s="6" t="s">
        <v>11</v>
      </c>
      <c r="C57" s="6">
        <v>10.0</v>
      </c>
      <c r="D57" s="6">
        <v>11068.0</v>
      </c>
      <c r="E57" s="6">
        <v>3848.0</v>
      </c>
      <c r="F57" s="6">
        <v>729.0</v>
      </c>
      <c r="G57" s="6">
        <v>422.0</v>
      </c>
      <c r="H57" s="6">
        <v>4508.0</v>
      </c>
      <c r="I57" s="6">
        <v>19263.0</v>
      </c>
      <c r="J57" s="6">
        <v>108.86</v>
      </c>
      <c r="K57" s="6" t="s">
        <v>50</v>
      </c>
    </row>
    <row r="58">
      <c r="A58" s="6" t="s">
        <v>14</v>
      </c>
      <c r="B58" s="6" t="s">
        <v>11</v>
      </c>
      <c r="C58" s="6">
        <v>20.0</v>
      </c>
      <c r="D58" s="6">
        <v>8802.0</v>
      </c>
      <c r="E58" s="6">
        <v>3273.0</v>
      </c>
      <c r="F58" s="6">
        <v>440.0</v>
      </c>
      <c r="G58" s="6">
        <v>1485.0</v>
      </c>
      <c r="H58" s="6">
        <v>5494.0</v>
      </c>
      <c r="I58" s="6">
        <v>13158.0</v>
      </c>
      <c r="J58" s="6">
        <v>90.23</v>
      </c>
      <c r="K58" s="6" t="s">
        <v>51</v>
      </c>
    </row>
    <row r="59">
      <c r="A59" s="6" t="s">
        <v>13</v>
      </c>
      <c r="B59" s="6" t="s">
        <v>11</v>
      </c>
      <c r="C59" s="6">
        <v>20.0</v>
      </c>
      <c r="D59" s="6">
        <v>17369.0</v>
      </c>
      <c r="E59" s="6">
        <v>1915.0</v>
      </c>
      <c r="F59" s="6">
        <v>1688.0</v>
      </c>
      <c r="G59" s="6">
        <v>1098.0</v>
      </c>
      <c r="H59" s="6">
        <v>4734.0</v>
      </c>
      <c r="I59" s="6">
        <v>16735.0</v>
      </c>
      <c r="J59" s="6">
        <v>108.4</v>
      </c>
      <c r="K59" s="6" t="s">
        <v>51</v>
      </c>
    </row>
    <row r="60">
      <c r="A60" s="6" t="s">
        <v>14</v>
      </c>
      <c r="B60" s="6" t="s">
        <v>12</v>
      </c>
      <c r="C60" s="6">
        <v>30.0</v>
      </c>
      <c r="D60" s="6">
        <v>9699.0</v>
      </c>
      <c r="E60" s="6">
        <v>3941.0</v>
      </c>
      <c r="F60" s="6">
        <v>1158.0</v>
      </c>
      <c r="G60" s="6">
        <v>604.0</v>
      </c>
      <c r="H60" s="6">
        <v>4264.0</v>
      </c>
      <c r="I60" s="6">
        <v>16830.0</v>
      </c>
      <c r="J60" s="6">
        <v>101.61</v>
      </c>
      <c r="K60" s="6" t="s">
        <v>50</v>
      </c>
    </row>
    <row r="61">
      <c r="A61" s="6" t="s">
        <v>13</v>
      </c>
      <c r="B61" s="6" t="s">
        <v>12</v>
      </c>
      <c r="C61" s="6">
        <v>25.0</v>
      </c>
      <c r="D61" s="6">
        <v>6970.0</v>
      </c>
      <c r="E61" s="6">
        <v>2105.0</v>
      </c>
      <c r="F61" s="6">
        <v>1390.0</v>
      </c>
      <c r="G61" s="6">
        <v>1187.0</v>
      </c>
      <c r="H61" s="6">
        <v>5137.0</v>
      </c>
      <c r="I61" s="6">
        <v>16125.0</v>
      </c>
      <c r="J61" s="6">
        <v>87.38</v>
      </c>
      <c r="K61" s="6" t="s">
        <v>50</v>
      </c>
    </row>
    <row r="62">
      <c r="A62" s="6" t="s">
        <v>13</v>
      </c>
      <c r="B62" s="6" t="s">
        <v>11</v>
      </c>
      <c r="C62" s="6">
        <v>10.0</v>
      </c>
      <c r="D62" s="6">
        <v>10806.0</v>
      </c>
      <c r="E62" s="6">
        <v>4593.0</v>
      </c>
      <c r="F62" s="6">
        <v>261.0</v>
      </c>
      <c r="G62" s="6">
        <v>275.0</v>
      </c>
      <c r="H62" s="6">
        <v>2604.0</v>
      </c>
      <c r="I62" s="6">
        <v>12905.0</v>
      </c>
      <c r="J62" s="6">
        <v>105.66</v>
      </c>
      <c r="K62" s="6" t="s">
        <v>51</v>
      </c>
    </row>
    <row r="63">
      <c r="A63" s="6" t="s">
        <v>14</v>
      </c>
      <c r="B63" s="6" t="s">
        <v>12</v>
      </c>
      <c r="C63" s="6">
        <v>30.0</v>
      </c>
      <c r="D63" s="6">
        <v>11142.0</v>
      </c>
      <c r="E63" s="6">
        <v>774.0</v>
      </c>
      <c r="F63" s="6">
        <v>1588.0</v>
      </c>
      <c r="G63" s="6">
        <v>830.0</v>
      </c>
      <c r="H63" s="6">
        <v>9947.0</v>
      </c>
      <c r="I63" s="6">
        <v>13298.0</v>
      </c>
      <c r="J63" s="6">
        <v>94.19</v>
      </c>
      <c r="K63" s="6" t="s">
        <v>50</v>
      </c>
    </row>
    <row r="64">
      <c r="A64" s="6" t="s">
        <v>13</v>
      </c>
      <c r="B64" s="6" t="s">
        <v>15</v>
      </c>
      <c r="C64" s="6">
        <v>30.0</v>
      </c>
      <c r="D64" s="6">
        <v>17014.0</v>
      </c>
      <c r="E64" s="6">
        <v>486.0</v>
      </c>
      <c r="F64" s="6">
        <v>433.0</v>
      </c>
      <c r="G64" s="6">
        <v>1112.0</v>
      </c>
      <c r="H64" s="6">
        <v>7301.0</v>
      </c>
      <c r="I64" s="6">
        <v>3011.0</v>
      </c>
      <c r="J64" s="6">
        <v>113.94</v>
      </c>
      <c r="K64" s="6" t="s">
        <v>50</v>
      </c>
    </row>
    <row r="65">
      <c r="A65" s="6" t="s">
        <v>13</v>
      </c>
      <c r="B65" s="6" t="s">
        <v>15</v>
      </c>
      <c r="C65" s="6">
        <v>10.0</v>
      </c>
      <c r="D65" s="6">
        <v>7819.0</v>
      </c>
      <c r="E65" s="6">
        <v>2258.0</v>
      </c>
      <c r="F65" s="6">
        <v>1764.0</v>
      </c>
      <c r="G65" s="6">
        <v>1348.0</v>
      </c>
      <c r="H65" s="6">
        <v>9075.0</v>
      </c>
      <c r="I65" s="6">
        <v>4373.0</v>
      </c>
      <c r="J65" s="6">
        <v>95.22</v>
      </c>
      <c r="K65" s="6" t="s">
        <v>50</v>
      </c>
    </row>
    <row r="66">
      <c r="A66" s="6" t="s">
        <v>12</v>
      </c>
      <c r="B66" s="6" t="s">
        <v>12</v>
      </c>
      <c r="C66" s="6">
        <v>10.0</v>
      </c>
      <c r="D66" s="6">
        <v>14094.0</v>
      </c>
      <c r="E66" s="6">
        <v>2761.0</v>
      </c>
      <c r="F66" s="6">
        <v>391.0</v>
      </c>
      <c r="G66" s="6">
        <v>671.0</v>
      </c>
      <c r="H66" s="6">
        <v>3107.0</v>
      </c>
      <c r="I66" s="6">
        <v>11335.0</v>
      </c>
      <c r="J66" s="6">
        <v>74.2</v>
      </c>
      <c r="K66" s="6" t="s">
        <v>50</v>
      </c>
    </row>
    <row r="67">
      <c r="A67" s="6" t="s">
        <v>15</v>
      </c>
      <c r="B67" s="6" t="s">
        <v>11</v>
      </c>
      <c r="C67" s="6">
        <v>20.0</v>
      </c>
      <c r="D67" s="6">
        <v>5364.0</v>
      </c>
      <c r="E67" s="6">
        <v>2164.0</v>
      </c>
      <c r="F67" s="6">
        <v>1888.0</v>
      </c>
      <c r="G67" s="6">
        <v>956.0</v>
      </c>
      <c r="H67" s="6">
        <v>8885.0</v>
      </c>
      <c r="I67" s="6">
        <v>11692.0</v>
      </c>
      <c r="J67" s="6">
        <v>105.34</v>
      </c>
      <c r="K67" s="6" t="s">
        <v>51</v>
      </c>
    </row>
    <row r="68">
      <c r="A68" s="6" t="s">
        <v>15</v>
      </c>
      <c r="B68" s="6" t="s">
        <v>12</v>
      </c>
      <c r="C68" s="6">
        <v>25.0</v>
      </c>
      <c r="D68" s="6">
        <v>9258.0</v>
      </c>
      <c r="E68" s="6">
        <v>3951.0</v>
      </c>
      <c r="F68" s="6">
        <v>893.0</v>
      </c>
      <c r="G68" s="6">
        <v>569.0</v>
      </c>
      <c r="H68" s="6">
        <v>4219.0</v>
      </c>
      <c r="I68" s="6">
        <v>15527.0</v>
      </c>
      <c r="J68" s="6">
        <v>104.59</v>
      </c>
      <c r="K68" s="6" t="s">
        <v>50</v>
      </c>
    </row>
    <row r="69">
      <c r="A69" s="6" t="s">
        <v>12</v>
      </c>
      <c r="B69" s="6" t="s">
        <v>12</v>
      </c>
      <c r="C69" s="6">
        <v>25.0</v>
      </c>
      <c r="D69" s="6">
        <v>8119.0</v>
      </c>
      <c r="E69" s="6">
        <v>3353.0</v>
      </c>
      <c r="F69" s="6">
        <v>1111.0</v>
      </c>
      <c r="G69" s="6">
        <v>926.0</v>
      </c>
      <c r="H69" s="6">
        <v>3081.0</v>
      </c>
      <c r="I69" s="6">
        <v>13773.0</v>
      </c>
      <c r="J69" s="6">
        <v>78.38</v>
      </c>
      <c r="K69" s="6" t="s">
        <v>50</v>
      </c>
    </row>
    <row r="70">
      <c r="A70" s="6" t="s">
        <v>14</v>
      </c>
      <c r="B70" s="6" t="s">
        <v>12</v>
      </c>
      <c r="C70" s="6">
        <v>10.0</v>
      </c>
      <c r="D70" s="6">
        <v>15750.0</v>
      </c>
      <c r="E70" s="6">
        <v>4736.0</v>
      </c>
      <c r="F70" s="6">
        <v>1584.0</v>
      </c>
      <c r="G70" s="6">
        <v>900.0</v>
      </c>
      <c r="H70" s="6">
        <v>3065.0</v>
      </c>
      <c r="I70" s="6">
        <v>2289.0</v>
      </c>
      <c r="J70" s="6">
        <v>115.01</v>
      </c>
      <c r="K70" s="6" t="s">
        <v>50</v>
      </c>
    </row>
    <row r="71">
      <c r="A71" s="6" t="s">
        <v>11</v>
      </c>
      <c r="B71" s="6" t="s">
        <v>13</v>
      </c>
      <c r="C71" s="6">
        <v>15.0</v>
      </c>
      <c r="D71" s="6">
        <v>6863.0</v>
      </c>
      <c r="E71" s="6">
        <v>4366.0</v>
      </c>
      <c r="F71" s="6">
        <v>469.0</v>
      </c>
      <c r="G71" s="6">
        <v>1281.0</v>
      </c>
      <c r="H71" s="6">
        <v>3263.0</v>
      </c>
      <c r="I71" s="6">
        <v>2447.0</v>
      </c>
      <c r="J71" s="6">
        <v>113.96</v>
      </c>
      <c r="K71" s="6" t="s">
        <v>51</v>
      </c>
    </row>
    <row r="72">
      <c r="A72" s="6" t="s">
        <v>11</v>
      </c>
      <c r="B72" s="6" t="s">
        <v>15</v>
      </c>
      <c r="C72" s="6">
        <v>30.0</v>
      </c>
      <c r="D72" s="6">
        <v>5115.0</v>
      </c>
      <c r="E72" s="6">
        <v>839.0</v>
      </c>
      <c r="F72" s="6">
        <v>800.0</v>
      </c>
      <c r="G72" s="6">
        <v>877.0</v>
      </c>
      <c r="H72" s="6">
        <v>6828.0</v>
      </c>
      <c r="I72" s="6">
        <v>15139.0</v>
      </c>
      <c r="J72" s="6">
        <v>82.6</v>
      </c>
      <c r="K72" s="6" t="s">
        <v>51</v>
      </c>
    </row>
    <row r="73">
      <c r="A73" s="6" t="s">
        <v>11</v>
      </c>
      <c r="B73" s="6" t="s">
        <v>14</v>
      </c>
      <c r="C73" s="6">
        <v>30.0</v>
      </c>
      <c r="D73" s="6">
        <v>12084.0</v>
      </c>
      <c r="E73" s="6">
        <v>1501.0</v>
      </c>
      <c r="F73" s="6">
        <v>1242.0</v>
      </c>
      <c r="G73" s="6">
        <v>619.0</v>
      </c>
      <c r="H73" s="6">
        <v>6491.0</v>
      </c>
      <c r="I73" s="6">
        <v>14757.0</v>
      </c>
      <c r="J73" s="6">
        <v>86.81</v>
      </c>
      <c r="K73" s="6" t="s">
        <v>50</v>
      </c>
    </row>
    <row r="74">
      <c r="A74" s="6" t="s">
        <v>12</v>
      </c>
      <c r="B74" s="6" t="s">
        <v>14</v>
      </c>
      <c r="C74" s="6">
        <v>10.0</v>
      </c>
      <c r="D74" s="6">
        <v>13016.0</v>
      </c>
      <c r="E74" s="6">
        <v>3359.0</v>
      </c>
      <c r="F74" s="6">
        <v>1982.0</v>
      </c>
      <c r="G74" s="6">
        <v>423.0</v>
      </c>
      <c r="H74" s="6">
        <v>3906.0</v>
      </c>
      <c r="I74" s="6">
        <v>6462.0</v>
      </c>
      <c r="J74" s="6">
        <v>97.16</v>
      </c>
      <c r="K74" s="6" t="s">
        <v>50</v>
      </c>
    </row>
    <row r="75">
      <c r="A75" s="6" t="s">
        <v>12</v>
      </c>
      <c r="B75" s="6" t="s">
        <v>13</v>
      </c>
      <c r="C75" s="6">
        <v>15.0</v>
      </c>
      <c r="D75" s="6">
        <v>7384.0</v>
      </c>
      <c r="E75" s="6">
        <v>2377.0</v>
      </c>
      <c r="F75" s="6">
        <v>1416.0</v>
      </c>
      <c r="G75" s="6">
        <v>34.0</v>
      </c>
      <c r="H75" s="6">
        <v>9423.0</v>
      </c>
      <c r="I75" s="6">
        <v>8657.0</v>
      </c>
      <c r="J75" s="6">
        <v>84.82</v>
      </c>
      <c r="K75" s="6" t="s">
        <v>51</v>
      </c>
    </row>
    <row r="76">
      <c r="A76" s="6" t="s">
        <v>13</v>
      </c>
      <c r="B76" s="6" t="s">
        <v>12</v>
      </c>
      <c r="C76" s="6">
        <v>20.0</v>
      </c>
      <c r="D76" s="6">
        <v>18168.0</v>
      </c>
      <c r="E76" s="6">
        <v>4004.0</v>
      </c>
      <c r="F76" s="6">
        <v>1899.0</v>
      </c>
      <c r="G76" s="6">
        <v>293.0</v>
      </c>
      <c r="H76" s="6">
        <v>5280.0</v>
      </c>
      <c r="I76" s="6">
        <v>5920.0</v>
      </c>
      <c r="J76" s="6">
        <v>112.81</v>
      </c>
      <c r="K76" s="6" t="s">
        <v>50</v>
      </c>
    </row>
    <row r="77">
      <c r="A77" s="6" t="s">
        <v>11</v>
      </c>
      <c r="B77" s="6" t="s">
        <v>13</v>
      </c>
      <c r="C77" s="6">
        <v>10.0</v>
      </c>
      <c r="D77" s="6">
        <v>8935.0</v>
      </c>
      <c r="E77" s="6">
        <v>4023.0</v>
      </c>
      <c r="F77" s="6">
        <v>355.0</v>
      </c>
      <c r="G77" s="6">
        <v>1482.0</v>
      </c>
      <c r="H77" s="6">
        <v>4677.0</v>
      </c>
      <c r="I77" s="6">
        <v>11345.0</v>
      </c>
      <c r="J77" s="6">
        <v>102.98</v>
      </c>
      <c r="K77" s="6" t="s">
        <v>50</v>
      </c>
    </row>
    <row r="78">
      <c r="A78" s="6" t="s">
        <v>14</v>
      </c>
      <c r="B78" s="6" t="s">
        <v>13</v>
      </c>
      <c r="C78" s="6">
        <v>10.0</v>
      </c>
      <c r="D78" s="6">
        <v>18127.0</v>
      </c>
      <c r="E78" s="6">
        <v>4314.0</v>
      </c>
      <c r="F78" s="6">
        <v>1615.0</v>
      </c>
      <c r="G78" s="6">
        <v>890.0</v>
      </c>
      <c r="H78" s="6">
        <v>6976.0</v>
      </c>
      <c r="I78" s="6">
        <v>9417.0</v>
      </c>
      <c r="J78" s="6">
        <v>78.13</v>
      </c>
      <c r="K78" s="6" t="s">
        <v>51</v>
      </c>
    </row>
    <row r="79">
      <c r="A79" s="6" t="s">
        <v>14</v>
      </c>
      <c r="B79" s="6" t="s">
        <v>11</v>
      </c>
      <c r="C79" s="6">
        <v>30.0</v>
      </c>
      <c r="D79" s="6">
        <v>19482.0</v>
      </c>
      <c r="E79" s="6">
        <v>3327.0</v>
      </c>
      <c r="F79" s="6">
        <v>751.0</v>
      </c>
      <c r="G79" s="6">
        <v>310.0</v>
      </c>
      <c r="H79" s="6">
        <v>3104.0</v>
      </c>
      <c r="I79" s="6">
        <v>18160.0</v>
      </c>
      <c r="J79" s="6">
        <v>83.55</v>
      </c>
      <c r="K79" s="6" t="s">
        <v>50</v>
      </c>
    </row>
    <row r="80">
      <c r="A80" s="6" t="s">
        <v>11</v>
      </c>
      <c r="B80" s="6" t="s">
        <v>15</v>
      </c>
      <c r="C80" s="6">
        <v>10.0</v>
      </c>
      <c r="D80" s="6">
        <v>12742.0</v>
      </c>
      <c r="E80" s="6">
        <v>2931.0</v>
      </c>
      <c r="F80" s="6">
        <v>918.0</v>
      </c>
      <c r="G80" s="6">
        <v>1101.0</v>
      </c>
      <c r="H80" s="6">
        <v>8681.0</v>
      </c>
      <c r="I80" s="6">
        <v>6208.0</v>
      </c>
      <c r="J80" s="6">
        <v>123.75</v>
      </c>
      <c r="K80" s="6" t="s">
        <v>50</v>
      </c>
    </row>
    <row r="81">
      <c r="A81" s="6" t="s">
        <v>11</v>
      </c>
      <c r="B81" s="6" t="s">
        <v>14</v>
      </c>
      <c r="C81" s="6">
        <v>10.0</v>
      </c>
      <c r="D81" s="6">
        <v>10442.0</v>
      </c>
      <c r="E81" s="6">
        <v>3858.0</v>
      </c>
      <c r="F81" s="6">
        <v>586.0</v>
      </c>
      <c r="G81" s="6">
        <v>1040.0</v>
      </c>
      <c r="H81" s="6">
        <v>2882.0</v>
      </c>
      <c r="I81" s="6">
        <v>1687.0</v>
      </c>
      <c r="J81" s="6">
        <v>130.71</v>
      </c>
      <c r="K81" s="6" t="s">
        <v>51</v>
      </c>
    </row>
    <row r="82">
      <c r="A82" s="6" t="s">
        <v>11</v>
      </c>
      <c r="B82" s="6" t="s">
        <v>12</v>
      </c>
      <c r="C82" s="6">
        <v>10.0</v>
      </c>
      <c r="D82" s="6">
        <v>7490.0</v>
      </c>
      <c r="E82" s="6">
        <v>2612.0</v>
      </c>
      <c r="F82" s="6">
        <v>1185.0</v>
      </c>
      <c r="G82" s="6">
        <v>826.0</v>
      </c>
      <c r="H82" s="6">
        <v>1031.0</v>
      </c>
      <c r="I82" s="6">
        <v>17913.0</v>
      </c>
      <c r="J82" s="6">
        <v>110.77</v>
      </c>
      <c r="K82" s="6" t="s">
        <v>51</v>
      </c>
    </row>
    <row r="83">
      <c r="A83" s="6" t="s">
        <v>12</v>
      </c>
      <c r="B83" s="6" t="s">
        <v>14</v>
      </c>
      <c r="C83" s="6">
        <v>30.0</v>
      </c>
      <c r="D83" s="6">
        <v>11980.0</v>
      </c>
      <c r="E83" s="6">
        <v>2251.0</v>
      </c>
      <c r="F83" s="6">
        <v>1484.0</v>
      </c>
      <c r="G83" s="6">
        <v>1170.0</v>
      </c>
      <c r="H83" s="6">
        <v>6579.0</v>
      </c>
      <c r="I83" s="6">
        <v>14223.0</v>
      </c>
      <c r="J83" s="6">
        <v>95.77</v>
      </c>
      <c r="K83" s="6" t="s">
        <v>50</v>
      </c>
    </row>
    <row r="84">
      <c r="A84" s="6" t="s">
        <v>12</v>
      </c>
      <c r="B84" s="6" t="s">
        <v>14</v>
      </c>
      <c r="C84" s="6">
        <v>20.0</v>
      </c>
      <c r="D84" s="6">
        <v>18324.0</v>
      </c>
      <c r="E84" s="6">
        <v>3775.0</v>
      </c>
      <c r="F84" s="6">
        <v>255.0</v>
      </c>
      <c r="G84" s="6">
        <v>1197.0</v>
      </c>
      <c r="H84" s="6">
        <v>1134.0</v>
      </c>
      <c r="I84" s="6">
        <v>9080.0</v>
      </c>
      <c r="J84" s="6">
        <v>91.2</v>
      </c>
      <c r="K84" s="6" t="s">
        <v>51</v>
      </c>
    </row>
    <row r="85">
      <c r="A85" s="6" t="s">
        <v>12</v>
      </c>
      <c r="B85" s="6" t="s">
        <v>15</v>
      </c>
      <c r="C85" s="6">
        <v>20.0</v>
      </c>
      <c r="D85" s="6">
        <v>14134.0</v>
      </c>
      <c r="E85" s="6">
        <v>2845.0</v>
      </c>
      <c r="F85" s="6">
        <v>1258.0</v>
      </c>
      <c r="G85" s="6">
        <v>92.0</v>
      </c>
      <c r="H85" s="6">
        <v>502.0</v>
      </c>
      <c r="I85" s="6">
        <v>19537.0</v>
      </c>
      <c r="J85" s="6">
        <v>110.99</v>
      </c>
      <c r="K85" s="6" t="s">
        <v>50</v>
      </c>
    </row>
    <row r="86">
      <c r="A86" s="6" t="s">
        <v>15</v>
      </c>
      <c r="B86" s="6" t="s">
        <v>14</v>
      </c>
      <c r="C86" s="6">
        <v>10.0</v>
      </c>
      <c r="D86" s="6">
        <v>12661.0</v>
      </c>
      <c r="E86" s="6">
        <v>3966.0</v>
      </c>
      <c r="F86" s="6">
        <v>1455.0</v>
      </c>
      <c r="G86" s="6">
        <v>1453.0</v>
      </c>
      <c r="H86" s="6">
        <v>8897.0</v>
      </c>
      <c r="I86" s="6">
        <v>10486.0</v>
      </c>
      <c r="J86" s="6">
        <v>101.52</v>
      </c>
      <c r="K86" s="6" t="s">
        <v>50</v>
      </c>
    </row>
    <row r="87">
      <c r="A87" s="6" t="s">
        <v>14</v>
      </c>
      <c r="B87" s="6" t="s">
        <v>14</v>
      </c>
      <c r="C87" s="6">
        <v>30.0</v>
      </c>
      <c r="D87" s="6">
        <v>6724.0</v>
      </c>
      <c r="E87" s="6">
        <v>3864.0</v>
      </c>
      <c r="F87" s="6">
        <v>545.0</v>
      </c>
      <c r="G87" s="6">
        <v>1106.0</v>
      </c>
      <c r="H87" s="6">
        <v>6451.0</v>
      </c>
      <c r="I87" s="6">
        <v>7094.0</v>
      </c>
      <c r="J87" s="6">
        <v>67.8</v>
      </c>
      <c r="K87" s="6" t="s">
        <v>50</v>
      </c>
    </row>
    <row r="88">
      <c r="A88" s="6" t="s">
        <v>14</v>
      </c>
      <c r="B88" s="6" t="s">
        <v>13</v>
      </c>
      <c r="C88" s="6">
        <v>20.0</v>
      </c>
      <c r="D88" s="6">
        <v>15526.0</v>
      </c>
      <c r="E88" s="6">
        <v>2322.0</v>
      </c>
      <c r="F88" s="6">
        <v>1452.0</v>
      </c>
      <c r="G88" s="6">
        <v>1270.0</v>
      </c>
      <c r="H88" s="6">
        <v>6126.0</v>
      </c>
      <c r="I88" s="6">
        <v>8692.0</v>
      </c>
      <c r="J88" s="6">
        <v>120.64</v>
      </c>
      <c r="K88" s="6" t="s">
        <v>51</v>
      </c>
    </row>
    <row r="89">
      <c r="A89" s="6" t="s">
        <v>13</v>
      </c>
      <c r="B89" s="6" t="s">
        <v>15</v>
      </c>
      <c r="C89" s="6">
        <v>20.0</v>
      </c>
      <c r="D89" s="6">
        <v>13182.0</v>
      </c>
      <c r="E89" s="6">
        <v>2892.0</v>
      </c>
      <c r="F89" s="6">
        <v>1120.0</v>
      </c>
      <c r="G89" s="6">
        <v>55.0</v>
      </c>
      <c r="H89" s="6">
        <v>8239.0</v>
      </c>
      <c r="I89" s="6">
        <v>12088.0</v>
      </c>
      <c r="J89" s="6">
        <v>126.92</v>
      </c>
      <c r="K89" s="6" t="s">
        <v>51</v>
      </c>
    </row>
    <row r="90">
      <c r="A90" s="6" t="s">
        <v>12</v>
      </c>
      <c r="B90" s="6" t="s">
        <v>11</v>
      </c>
      <c r="C90" s="6">
        <v>20.0</v>
      </c>
      <c r="D90" s="6">
        <v>7767.0</v>
      </c>
      <c r="E90" s="6">
        <v>1797.0</v>
      </c>
      <c r="F90" s="6">
        <v>1959.0</v>
      </c>
      <c r="G90" s="6">
        <v>627.0</v>
      </c>
      <c r="H90" s="6">
        <v>6503.0</v>
      </c>
      <c r="I90" s="6">
        <v>4103.0</v>
      </c>
      <c r="J90" s="6">
        <v>114.75</v>
      </c>
      <c r="K90" s="6" t="s">
        <v>50</v>
      </c>
    </row>
    <row r="91">
      <c r="A91" s="6" t="s">
        <v>15</v>
      </c>
      <c r="B91" s="6" t="s">
        <v>12</v>
      </c>
      <c r="C91" s="6">
        <v>30.0</v>
      </c>
      <c r="D91" s="6">
        <v>6137.0</v>
      </c>
      <c r="E91" s="6">
        <v>3562.0</v>
      </c>
      <c r="F91" s="6">
        <v>1813.0</v>
      </c>
      <c r="G91" s="6">
        <v>937.0</v>
      </c>
      <c r="H91" s="6">
        <v>3390.0</v>
      </c>
      <c r="I91" s="6">
        <v>3440.0</v>
      </c>
      <c r="J91" s="6">
        <v>78.17</v>
      </c>
      <c r="K91" s="6" t="s">
        <v>50</v>
      </c>
    </row>
    <row r="92">
      <c r="A92" s="6" t="s">
        <v>15</v>
      </c>
      <c r="B92" s="6" t="s">
        <v>14</v>
      </c>
      <c r="C92" s="6">
        <v>30.0</v>
      </c>
      <c r="D92" s="6">
        <v>15719.0</v>
      </c>
      <c r="E92" s="6">
        <v>4163.0</v>
      </c>
      <c r="F92" s="6">
        <v>1624.0</v>
      </c>
      <c r="G92" s="6">
        <v>271.0</v>
      </c>
      <c r="H92" s="6">
        <v>6739.0</v>
      </c>
      <c r="I92" s="6">
        <v>8124.0</v>
      </c>
      <c r="J92" s="6">
        <v>87.26</v>
      </c>
      <c r="K92" s="6" t="s">
        <v>51</v>
      </c>
    </row>
    <row r="93">
      <c r="A93" s="6" t="s">
        <v>14</v>
      </c>
      <c r="B93" s="6" t="s">
        <v>12</v>
      </c>
      <c r="C93" s="6">
        <v>10.0</v>
      </c>
      <c r="D93" s="6">
        <v>9117.0</v>
      </c>
      <c r="E93" s="6">
        <v>1624.0</v>
      </c>
      <c r="F93" s="6">
        <v>1601.0</v>
      </c>
      <c r="G93" s="6">
        <v>185.0</v>
      </c>
      <c r="H93" s="6">
        <v>8526.0</v>
      </c>
      <c r="I93" s="6">
        <v>18228.0</v>
      </c>
      <c r="J93" s="6">
        <v>62.85</v>
      </c>
      <c r="K93" s="6" t="s">
        <v>51</v>
      </c>
    </row>
    <row r="94">
      <c r="A94" s="6" t="s">
        <v>12</v>
      </c>
      <c r="B94" s="6" t="s">
        <v>11</v>
      </c>
      <c r="C94" s="6">
        <v>25.0</v>
      </c>
      <c r="D94" s="6">
        <v>8420.0</v>
      </c>
      <c r="E94" s="6">
        <v>4860.0</v>
      </c>
      <c r="F94" s="6">
        <v>553.0</v>
      </c>
      <c r="G94" s="6">
        <v>1199.0</v>
      </c>
      <c r="H94" s="6">
        <v>3806.0</v>
      </c>
      <c r="I94" s="6">
        <v>15031.0</v>
      </c>
      <c r="J94" s="6">
        <v>131.92</v>
      </c>
      <c r="K94" s="6" t="s">
        <v>51</v>
      </c>
    </row>
    <row r="95">
      <c r="A95" s="6" t="s">
        <v>13</v>
      </c>
      <c r="B95" s="6" t="s">
        <v>12</v>
      </c>
      <c r="C95" s="6">
        <v>20.0</v>
      </c>
      <c r="D95" s="6">
        <v>10845.0</v>
      </c>
      <c r="E95" s="6">
        <v>132.0</v>
      </c>
      <c r="F95" s="6">
        <v>1095.0</v>
      </c>
      <c r="G95" s="6">
        <v>666.0</v>
      </c>
      <c r="H95" s="6">
        <v>1397.0</v>
      </c>
      <c r="I95" s="6">
        <v>15536.0</v>
      </c>
      <c r="J95" s="6">
        <v>92.87</v>
      </c>
      <c r="K95" s="6" t="s">
        <v>50</v>
      </c>
    </row>
    <row r="96">
      <c r="A96" s="6" t="s">
        <v>12</v>
      </c>
      <c r="B96" s="6" t="s">
        <v>11</v>
      </c>
      <c r="C96" s="6">
        <v>25.0</v>
      </c>
      <c r="D96" s="6">
        <v>9778.0</v>
      </c>
      <c r="E96" s="6">
        <v>4125.0</v>
      </c>
      <c r="F96" s="6">
        <v>262.0</v>
      </c>
      <c r="G96" s="6">
        <v>851.0</v>
      </c>
      <c r="H96" s="6">
        <v>9777.0</v>
      </c>
      <c r="I96" s="6">
        <v>1446.0</v>
      </c>
      <c r="J96" s="6">
        <v>146.67</v>
      </c>
      <c r="K96" s="6" t="s">
        <v>51</v>
      </c>
    </row>
    <row r="97">
      <c r="A97" s="6" t="s">
        <v>11</v>
      </c>
      <c r="B97" s="6" t="s">
        <v>13</v>
      </c>
      <c r="C97" s="6">
        <v>30.0</v>
      </c>
      <c r="D97" s="6">
        <v>8906.0</v>
      </c>
      <c r="E97" s="6">
        <v>2666.0</v>
      </c>
      <c r="F97" s="6">
        <v>359.0</v>
      </c>
      <c r="G97" s="6">
        <v>379.0</v>
      </c>
      <c r="H97" s="6">
        <v>9971.0</v>
      </c>
      <c r="I97" s="6">
        <v>4915.0</v>
      </c>
      <c r="J97" s="6">
        <v>139.1</v>
      </c>
      <c r="K97" s="6" t="s">
        <v>51</v>
      </c>
    </row>
    <row r="98">
      <c r="A98" s="6" t="s">
        <v>12</v>
      </c>
      <c r="B98" s="6" t="s">
        <v>14</v>
      </c>
      <c r="C98" s="6">
        <v>30.0</v>
      </c>
      <c r="D98" s="6">
        <v>8637.0</v>
      </c>
      <c r="E98" s="6">
        <v>2903.0</v>
      </c>
      <c r="F98" s="6">
        <v>710.0</v>
      </c>
      <c r="G98" s="6">
        <v>63.0</v>
      </c>
      <c r="H98" s="6">
        <v>1170.0</v>
      </c>
      <c r="I98" s="6">
        <v>16787.0</v>
      </c>
      <c r="J98" s="6">
        <v>81.93</v>
      </c>
      <c r="K98" s="6" t="s">
        <v>50</v>
      </c>
    </row>
    <row r="99">
      <c r="A99" s="6" t="s">
        <v>11</v>
      </c>
      <c r="B99" s="6" t="s">
        <v>11</v>
      </c>
      <c r="C99" s="6">
        <v>30.0</v>
      </c>
      <c r="D99" s="6">
        <v>7953.0</v>
      </c>
      <c r="E99" s="6">
        <v>3996.0</v>
      </c>
      <c r="F99" s="6">
        <v>802.0</v>
      </c>
      <c r="G99" s="6">
        <v>699.0</v>
      </c>
      <c r="H99" s="6">
        <v>7791.0</v>
      </c>
      <c r="I99" s="6">
        <v>18618.0</v>
      </c>
      <c r="J99" s="6">
        <v>85.83</v>
      </c>
      <c r="K99" s="6" t="s">
        <v>50</v>
      </c>
    </row>
    <row r="100">
      <c r="A100" s="6" t="s">
        <v>11</v>
      </c>
      <c r="B100" s="6" t="s">
        <v>12</v>
      </c>
      <c r="C100" s="6">
        <v>25.0</v>
      </c>
      <c r="D100" s="6">
        <v>10929.0</v>
      </c>
      <c r="E100" s="6">
        <v>3809.0</v>
      </c>
      <c r="F100" s="6">
        <v>321.0</v>
      </c>
      <c r="G100" s="6">
        <v>1452.0</v>
      </c>
      <c r="H100" s="6">
        <v>2005.0</v>
      </c>
      <c r="I100" s="6">
        <v>7587.0</v>
      </c>
      <c r="J100" s="6">
        <v>109.32</v>
      </c>
      <c r="K100" s="6" t="s">
        <v>50</v>
      </c>
    </row>
    <row r="101">
      <c r="A101" s="6" t="s">
        <v>13</v>
      </c>
      <c r="B101" s="6" t="s">
        <v>14</v>
      </c>
      <c r="C101" s="6">
        <v>30.0</v>
      </c>
      <c r="D101" s="6">
        <v>15559.0</v>
      </c>
      <c r="E101" s="6">
        <v>819.0</v>
      </c>
      <c r="F101" s="6">
        <v>1644.0</v>
      </c>
      <c r="G101" s="6">
        <v>1374.0</v>
      </c>
      <c r="H101" s="6">
        <v>6960.0</v>
      </c>
      <c r="I101" s="6">
        <v>1226.0</v>
      </c>
      <c r="J101" s="6">
        <v>64.91</v>
      </c>
      <c r="K101" s="6" t="s">
        <v>51</v>
      </c>
    </row>
    <row r="102">
      <c r="A102" s="6" t="s">
        <v>14</v>
      </c>
      <c r="B102" s="6" t="s">
        <v>13</v>
      </c>
      <c r="C102" s="6">
        <v>10.0</v>
      </c>
      <c r="D102" s="6">
        <v>17413.0</v>
      </c>
      <c r="E102" s="6">
        <v>4679.0</v>
      </c>
      <c r="F102" s="6">
        <v>1872.0</v>
      </c>
      <c r="G102" s="6">
        <v>1160.0</v>
      </c>
      <c r="H102" s="6">
        <v>5667.0</v>
      </c>
      <c r="I102" s="6">
        <v>12151.0</v>
      </c>
      <c r="J102" s="6">
        <v>91.23</v>
      </c>
      <c r="K102" s="6" t="s">
        <v>50</v>
      </c>
    </row>
    <row r="103">
      <c r="A103" s="6" t="s">
        <v>12</v>
      </c>
      <c r="B103" s="6" t="s">
        <v>14</v>
      </c>
      <c r="C103" s="6">
        <v>30.0</v>
      </c>
      <c r="D103" s="6">
        <v>5276.0</v>
      </c>
      <c r="E103" s="6">
        <v>1072.0</v>
      </c>
      <c r="F103" s="6">
        <v>987.0</v>
      </c>
      <c r="G103" s="6">
        <v>1442.0</v>
      </c>
      <c r="H103" s="6">
        <v>5755.0</v>
      </c>
      <c r="I103" s="6">
        <v>6558.0</v>
      </c>
      <c r="J103" s="6">
        <v>89.24</v>
      </c>
      <c r="K103" s="6" t="s">
        <v>50</v>
      </c>
    </row>
    <row r="104">
      <c r="A104" s="6" t="s">
        <v>11</v>
      </c>
      <c r="B104" s="6" t="s">
        <v>11</v>
      </c>
      <c r="C104" s="6">
        <v>15.0</v>
      </c>
      <c r="D104" s="6">
        <v>6999.0</v>
      </c>
      <c r="E104" s="6">
        <v>3818.0</v>
      </c>
      <c r="F104" s="6">
        <v>1275.0</v>
      </c>
      <c r="G104" s="6">
        <v>376.0</v>
      </c>
      <c r="H104" s="6">
        <v>749.0</v>
      </c>
      <c r="I104" s="6">
        <v>12971.0</v>
      </c>
      <c r="J104" s="6">
        <v>137.02</v>
      </c>
      <c r="K104" s="6" t="s">
        <v>50</v>
      </c>
    </row>
    <row r="105">
      <c r="A105" s="6" t="s">
        <v>12</v>
      </c>
      <c r="B105" s="6" t="s">
        <v>13</v>
      </c>
      <c r="C105" s="6">
        <v>25.0</v>
      </c>
      <c r="D105" s="6">
        <v>6227.0</v>
      </c>
      <c r="E105" s="6">
        <v>4502.0</v>
      </c>
      <c r="F105" s="6">
        <v>81.0</v>
      </c>
      <c r="G105" s="6">
        <v>1304.0</v>
      </c>
      <c r="H105" s="6">
        <v>6957.0</v>
      </c>
      <c r="I105" s="6">
        <v>1186.0</v>
      </c>
      <c r="J105" s="6">
        <v>103.22</v>
      </c>
      <c r="K105" s="6" t="s">
        <v>50</v>
      </c>
    </row>
    <row r="106">
      <c r="A106" s="6" t="s">
        <v>14</v>
      </c>
      <c r="B106" s="6" t="s">
        <v>12</v>
      </c>
      <c r="C106" s="6">
        <v>15.0</v>
      </c>
      <c r="D106" s="6">
        <v>11337.0</v>
      </c>
      <c r="E106" s="6">
        <v>4652.0</v>
      </c>
      <c r="F106" s="6">
        <v>492.0</v>
      </c>
      <c r="G106" s="6">
        <v>653.0</v>
      </c>
      <c r="H106" s="6">
        <v>2392.0</v>
      </c>
      <c r="I106" s="6">
        <v>15680.0</v>
      </c>
      <c r="J106" s="6">
        <v>94.3</v>
      </c>
      <c r="K106" s="6" t="s">
        <v>51</v>
      </c>
    </row>
    <row r="107">
      <c r="A107" s="6" t="s">
        <v>14</v>
      </c>
      <c r="B107" s="6" t="s">
        <v>13</v>
      </c>
      <c r="C107" s="6">
        <v>30.0</v>
      </c>
      <c r="D107" s="6">
        <v>16944.0</v>
      </c>
      <c r="E107" s="6">
        <v>2307.0</v>
      </c>
      <c r="F107" s="6">
        <v>211.0</v>
      </c>
      <c r="G107" s="6">
        <v>388.0</v>
      </c>
      <c r="H107" s="6">
        <v>3939.0</v>
      </c>
      <c r="I107" s="6">
        <v>15559.0</v>
      </c>
      <c r="J107" s="6">
        <v>87.37</v>
      </c>
      <c r="K107" s="6" t="s">
        <v>50</v>
      </c>
    </row>
    <row r="108">
      <c r="A108" s="6" t="s">
        <v>15</v>
      </c>
      <c r="B108" s="6" t="s">
        <v>13</v>
      </c>
      <c r="C108" s="6">
        <v>10.0</v>
      </c>
      <c r="D108" s="6">
        <v>8735.0</v>
      </c>
      <c r="E108" s="6">
        <v>4526.0</v>
      </c>
      <c r="F108" s="6">
        <v>816.0</v>
      </c>
      <c r="G108" s="6">
        <v>82.0</v>
      </c>
      <c r="H108" s="6">
        <v>3354.0</v>
      </c>
      <c r="I108" s="6">
        <v>12069.0</v>
      </c>
      <c r="J108" s="6">
        <v>117.88</v>
      </c>
      <c r="K108" s="6" t="s">
        <v>51</v>
      </c>
    </row>
    <row r="109">
      <c r="A109" s="6" t="s">
        <v>14</v>
      </c>
      <c r="B109" s="6" t="s">
        <v>15</v>
      </c>
      <c r="C109" s="6">
        <v>20.0</v>
      </c>
      <c r="D109" s="6">
        <v>5695.0</v>
      </c>
      <c r="E109" s="6">
        <v>4420.0</v>
      </c>
      <c r="F109" s="6">
        <v>303.0</v>
      </c>
      <c r="G109" s="6">
        <v>924.0</v>
      </c>
      <c r="H109" s="6">
        <v>4292.0</v>
      </c>
      <c r="I109" s="6">
        <v>3535.0</v>
      </c>
      <c r="J109" s="6">
        <v>90.07</v>
      </c>
      <c r="K109" s="6" t="s">
        <v>51</v>
      </c>
    </row>
    <row r="110">
      <c r="A110" s="6" t="s">
        <v>13</v>
      </c>
      <c r="B110" s="6" t="s">
        <v>13</v>
      </c>
      <c r="C110" s="6">
        <v>30.0</v>
      </c>
      <c r="D110" s="6">
        <v>14501.0</v>
      </c>
      <c r="E110" s="6">
        <v>3130.0</v>
      </c>
      <c r="F110" s="6">
        <v>570.0</v>
      </c>
      <c r="G110" s="6">
        <v>1281.0</v>
      </c>
      <c r="H110" s="6">
        <v>5830.0</v>
      </c>
      <c r="I110" s="6">
        <v>2932.0</v>
      </c>
      <c r="J110" s="6">
        <v>98.99</v>
      </c>
      <c r="K110" s="6" t="s">
        <v>51</v>
      </c>
    </row>
    <row r="111">
      <c r="A111" s="6" t="s">
        <v>11</v>
      </c>
      <c r="B111" s="6" t="s">
        <v>13</v>
      </c>
      <c r="C111" s="6">
        <v>10.0</v>
      </c>
      <c r="D111" s="6">
        <v>9152.0</v>
      </c>
      <c r="E111" s="6">
        <v>3675.0</v>
      </c>
      <c r="F111" s="6">
        <v>1026.0</v>
      </c>
      <c r="G111" s="6">
        <v>869.0</v>
      </c>
      <c r="H111" s="6">
        <v>8371.0</v>
      </c>
      <c r="I111" s="6">
        <v>3032.0</v>
      </c>
      <c r="J111" s="6">
        <v>87.22</v>
      </c>
      <c r="K111" s="6" t="s">
        <v>50</v>
      </c>
    </row>
    <row r="112">
      <c r="A112" s="6" t="s">
        <v>15</v>
      </c>
      <c r="B112" s="6" t="s">
        <v>14</v>
      </c>
      <c r="C112" s="6">
        <v>25.0</v>
      </c>
      <c r="D112" s="6">
        <v>12901.0</v>
      </c>
      <c r="E112" s="6">
        <v>3216.0</v>
      </c>
      <c r="F112" s="6">
        <v>1724.0</v>
      </c>
      <c r="G112" s="6">
        <v>52.0</v>
      </c>
      <c r="H112" s="6">
        <v>8735.0</v>
      </c>
      <c r="I112" s="6">
        <v>2252.0</v>
      </c>
      <c r="J112" s="6">
        <v>69.65</v>
      </c>
      <c r="K112" s="6" t="s">
        <v>51</v>
      </c>
    </row>
    <row r="113">
      <c r="A113" s="6" t="s">
        <v>13</v>
      </c>
      <c r="B113" s="6" t="s">
        <v>12</v>
      </c>
      <c r="C113" s="6">
        <v>15.0</v>
      </c>
      <c r="D113" s="6">
        <v>12470.0</v>
      </c>
      <c r="E113" s="6">
        <v>3385.0</v>
      </c>
      <c r="F113" s="6">
        <v>1553.0</v>
      </c>
      <c r="G113" s="6">
        <v>386.0</v>
      </c>
      <c r="H113" s="6">
        <v>4112.0</v>
      </c>
      <c r="I113" s="6">
        <v>6509.0</v>
      </c>
      <c r="J113" s="6">
        <v>80.08</v>
      </c>
      <c r="K113" s="6" t="s">
        <v>50</v>
      </c>
    </row>
    <row r="114">
      <c r="A114" s="6" t="s">
        <v>12</v>
      </c>
      <c r="B114" s="6" t="s">
        <v>14</v>
      </c>
      <c r="C114" s="6">
        <v>15.0</v>
      </c>
      <c r="D114" s="6">
        <v>16426.0</v>
      </c>
      <c r="E114" s="6">
        <v>743.0</v>
      </c>
      <c r="F114" s="6">
        <v>59.0</v>
      </c>
      <c r="G114" s="6">
        <v>1074.0</v>
      </c>
      <c r="H114" s="6">
        <v>3118.0</v>
      </c>
      <c r="I114" s="6">
        <v>6074.0</v>
      </c>
      <c r="J114" s="6">
        <v>89.96</v>
      </c>
      <c r="K114" s="6" t="s">
        <v>50</v>
      </c>
    </row>
    <row r="115">
      <c r="A115" s="6" t="s">
        <v>11</v>
      </c>
      <c r="B115" s="6" t="s">
        <v>14</v>
      </c>
      <c r="C115" s="6">
        <v>15.0</v>
      </c>
      <c r="D115" s="6">
        <v>17306.0</v>
      </c>
      <c r="E115" s="6">
        <v>4811.0</v>
      </c>
      <c r="F115" s="6">
        <v>775.0</v>
      </c>
      <c r="G115" s="6">
        <v>179.0</v>
      </c>
      <c r="H115" s="6">
        <v>5178.0</v>
      </c>
      <c r="I115" s="6">
        <v>14900.0</v>
      </c>
      <c r="J115" s="6">
        <v>94.73</v>
      </c>
      <c r="K115" s="6" t="s">
        <v>50</v>
      </c>
    </row>
    <row r="116">
      <c r="A116" s="6" t="s">
        <v>14</v>
      </c>
      <c r="B116" s="6" t="s">
        <v>11</v>
      </c>
      <c r="C116" s="6">
        <v>25.0</v>
      </c>
      <c r="D116" s="6">
        <v>12537.0</v>
      </c>
      <c r="E116" s="6">
        <v>294.0</v>
      </c>
      <c r="F116" s="6">
        <v>554.0</v>
      </c>
      <c r="G116" s="6">
        <v>221.0</v>
      </c>
      <c r="H116" s="6">
        <v>3663.0</v>
      </c>
      <c r="I116" s="6">
        <v>15523.0</v>
      </c>
      <c r="J116" s="6">
        <v>95.61</v>
      </c>
      <c r="K116" s="6" t="s">
        <v>51</v>
      </c>
    </row>
    <row r="117">
      <c r="A117" s="6" t="s">
        <v>11</v>
      </c>
      <c r="B117" s="6" t="s">
        <v>14</v>
      </c>
      <c r="C117" s="6">
        <v>10.0</v>
      </c>
      <c r="D117" s="6">
        <v>15503.0</v>
      </c>
      <c r="E117" s="6">
        <v>4096.0</v>
      </c>
      <c r="F117" s="6">
        <v>834.0</v>
      </c>
      <c r="G117" s="6">
        <v>48.0</v>
      </c>
      <c r="H117" s="6">
        <v>9980.0</v>
      </c>
      <c r="I117" s="6">
        <v>2881.0</v>
      </c>
      <c r="J117" s="6">
        <v>98.22</v>
      </c>
      <c r="K117" s="6" t="s">
        <v>50</v>
      </c>
    </row>
    <row r="118">
      <c r="A118" s="6" t="s">
        <v>12</v>
      </c>
      <c r="B118" s="6" t="s">
        <v>15</v>
      </c>
      <c r="C118" s="6">
        <v>25.0</v>
      </c>
      <c r="D118" s="6">
        <v>7841.0</v>
      </c>
      <c r="E118" s="6">
        <v>588.0</v>
      </c>
      <c r="F118" s="6">
        <v>1909.0</v>
      </c>
      <c r="G118" s="6">
        <v>378.0</v>
      </c>
      <c r="H118" s="6">
        <v>3442.0</v>
      </c>
      <c r="I118" s="6">
        <v>1269.0</v>
      </c>
      <c r="J118" s="6">
        <v>90.23</v>
      </c>
      <c r="K118" s="6" t="s">
        <v>50</v>
      </c>
    </row>
    <row r="119">
      <c r="A119" s="6" t="s">
        <v>15</v>
      </c>
      <c r="B119" s="6" t="s">
        <v>15</v>
      </c>
      <c r="C119" s="6">
        <v>15.0</v>
      </c>
      <c r="D119" s="6">
        <v>9208.0</v>
      </c>
      <c r="E119" s="6">
        <v>2304.0</v>
      </c>
      <c r="F119" s="6">
        <v>1633.0</v>
      </c>
      <c r="G119" s="6">
        <v>766.0</v>
      </c>
      <c r="H119" s="6">
        <v>8911.0</v>
      </c>
      <c r="I119" s="6">
        <v>2630.0</v>
      </c>
      <c r="J119" s="6">
        <v>126.98</v>
      </c>
      <c r="K119" s="6" t="s">
        <v>50</v>
      </c>
    </row>
    <row r="120">
      <c r="A120" s="6" t="s">
        <v>15</v>
      </c>
      <c r="B120" s="6" t="s">
        <v>11</v>
      </c>
      <c r="C120" s="6">
        <v>30.0</v>
      </c>
      <c r="D120" s="6">
        <v>16751.0</v>
      </c>
      <c r="E120" s="6">
        <v>2757.0</v>
      </c>
      <c r="F120" s="6">
        <v>485.0</v>
      </c>
      <c r="G120" s="6">
        <v>160.0</v>
      </c>
      <c r="H120" s="6">
        <v>2425.0</v>
      </c>
      <c r="I120" s="6">
        <v>18958.0</v>
      </c>
      <c r="J120" s="6">
        <v>118.96</v>
      </c>
      <c r="K120" s="6" t="s">
        <v>51</v>
      </c>
    </row>
    <row r="121">
      <c r="A121" s="6" t="s">
        <v>15</v>
      </c>
      <c r="B121" s="6" t="s">
        <v>12</v>
      </c>
      <c r="C121" s="6">
        <v>20.0</v>
      </c>
      <c r="D121" s="6">
        <v>16590.0</v>
      </c>
      <c r="E121" s="6">
        <v>3376.0</v>
      </c>
      <c r="F121" s="6">
        <v>1184.0</v>
      </c>
      <c r="G121" s="6">
        <v>1144.0</v>
      </c>
      <c r="H121" s="6">
        <v>3472.0</v>
      </c>
      <c r="I121" s="6">
        <v>14383.0</v>
      </c>
      <c r="J121" s="6">
        <v>97.3</v>
      </c>
      <c r="K121" s="6" t="s">
        <v>51</v>
      </c>
    </row>
    <row r="122">
      <c r="A122" s="6" t="s">
        <v>14</v>
      </c>
      <c r="B122" s="6" t="s">
        <v>12</v>
      </c>
      <c r="C122" s="6">
        <v>25.0</v>
      </c>
      <c r="D122" s="6">
        <v>13733.0</v>
      </c>
      <c r="E122" s="6">
        <v>1202.0</v>
      </c>
      <c r="F122" s="6">
        <v>202.0</v>
      </c>
      <c r="G122" s="6">
        <v>1469.0</v>
      </c>
      <c r="H122" s="6">
        <v>1490.0</v>
      </c>
      <c r="I122" s="6">
        <v>17152.0</v>
      </c>
      <c r="J122" s="6">
        <v>105.09</v>
      </c>
      <c r="K122" s="6" t="s">
        <v>51</v>
      </c>
    </row>
    <row r="123">
      <c r="A123" s="6" t="s">
        <v>13</v>
      </c>
      <c r="B123" s="6" t="s">
        <v>14</v>
      </c>
      <c r="C123" s="6">
        <v>25.0</v>
      </c>
      <c r="D123" s="6">
        <v>15886.0</v>
      </c>
      <c r="E123" s="6">
        <v>1341.0</v>
      </c>
      <c r="F123" s="6">
        <v>1708.0</v>
      </c>
      <c r="G123" s="6">
        <v>1080.0</v>
      </c>
      <c r="H123" s="6">
        <v>2312.0</v>
      </c>
      <c r="I123" s="6">
        <v>12084.0</v>
      </c>
      <c r="J123" s="6">
        <v>92.56</v>
      </c>
      <c r="K123" s="6" t="s">
        <v>50</v>
      </c>
    </row>
    <row r="124">
      <c r="A124" s="6" t="s">
        <v>13</v>
      </c>
      <c r="B124" s="6" t="s">
        <v>14</v>
      </c>
      <c r="C124" s="6">
        <v>10.0</v>
      </c>
      <c r="D124" s="6">
        <v>17866.0</v>
      </c>
      <c r="E124" s="6">
        <v>615.0</v>
      </c>
      <c r="F124" s="6">
        <v>966.0</v>
      </c>
      <c r="G124" s="6">
        <v>1033.0</v>
      </c>
      <c r="H124" s="6">
        <v>9495.0</v>
      </c>
      <c r="I124" s="6">
        <v>2695.0</v>
      </c>
      <c r="J124" s="6">
        <v>43.13</v>
      </c>
      <c r="K124" s="6" t="s">
        <v>51</v>
      </c>
    </row>
    <row r="125">
      <c r="A125" s="6" t="s">
        <v>11</v>
      </c>
      <c r="B125" s="6" t="s">
        <v>14</v>
      </c>
      <c r="C125" s="6">
        <v>10.0</v>
      </c>
      <c r="D125" s="6">
        <v>6088.0</v>
      </c>
      <c r="E125" s="6">
        <v>492.0</v>
      </c>
      <c r="F125" s="6">
        <v>918.0</v>
      </c>
      <c r="G125" s="6">
        <v>746.0</v>
      </c>
      <c r="H125" s="6">
        <v>989.0</v>
      </c>
      <c r="I125" s="6">
        <v>15821.0</v>
      </c>
      <c r="J125" s="6">
        <v>100.41</v>
      </c>
      <c r="K125" s="6" t="s">
        <v>50</v>
      </c>
    </row>
    <row r="126">
      <c r="A126" s="6" t="s">
        <v>14</v>
      </c>
      <c r="B126" s="6" t="s">
        <v>12</v>
      </c>
      <c r="C126" s="6">
        <v>25.0</v>
      </c>
      <c r="D126" s="6">
        <v>8363.0</v>
      </c>
      <c r="E126" s="6">
        <v>730.0</v>
      </c>
      <c r="F126" s="6">
        <v>1175.0</v>
      </c>
      <c r="G126" s="6">
        <v>1399.0</v>
      </c>
      <c r="H126" s="6">
        <v>6376.0</v>
      </c>
      <c r="I126" s="6">
        <v>4262.0</v>
      </c>
      <c r="J126" s="6">
        <v>106.11</v>
      </c>
      <c r="K126" s="6" t="s">
        <v>50</v>
      </c>
    </row>
    <row r="127">
      <c r="A127" s="6" t="s">
        <v>15</v>
      </c>
      <c r="B127" s="6" t="s">
        <v>13</v>
      </c>
      <c r="C127" s="6">
        <v>15.0</v>
      </c>
      <c r="D127" s="6">
        <v>5024.0</v>
      </c>
      <c r="E127" s="6">
        <v>3816.0</v>
      </c>
      <c r="F127" s="6">
        <v>802.0</v>
      </c>
      <c r="G127" s="6">
        <v>78.0</v>
      </c>
      <c r="H127" s="6">
        <v>4145.0</v>
      </c>
      <c r="I127" s="6">
        <v>2445.0</v>
      </c>
      <c r="J127" s="6">
        <v>67.75</v>
      </c>
      <c r="K127" s="6" t="s">
        <v>51</v>
      </c>
    </row>
    <row r="128">
      <c r="A128" s="6" t="s">
        <v>15</v>
      </c>
      <c r="B128" s="6" t="s">
        <v>15</v>
      </c>
      <c r="C128" s="6">
        <v>20.0</v>
      </c>
      <c r="D128" s="6">
        <v>14764.0</v>
      </c>
      <c r="E128" s="6">
        <v>1947.0</v>
      </c>
      <c r="F128" s="6">
        <v>1906.0</v>
      </c>
      <c r="G128" s="6">
        <v>308.0</v>
      </c>
      <c r="H128" s="6">
        <v>7581.0</v>
      </c>
      <c r="I128" s="6">
        <v>17436.0</v>
      </c>
      <c r="J128" s="6">
        <v>109.99</v>
      </c>
      <c r="K128" s="6" t="s">
        <v>50</v>
      </c>
    </row>
    <row r="129">
      <c r="A129" s="6" t="s">
        <v>12</v>
      </c>
      <c r="B129" s="6" t="s">
        <v>13</v>
      </c>
      <c r="C129" s="6">
        <v>10.0</v>
      </c>
      <c r="D129" s="6">
        <v>11144.0</v>
      </c>
      <c r="E129" s="6">
        <v>2755.0</v>
      </c>
      <c r="F129" s="6">
        <v>1264.0</v>
      </c>
      <c r="G129" s="6">
        <v>953.0</v>
      </c>
      <c r="H129" s="6">
        <v>3391.0</v>
      </c>
      <c r="I129" s="6">
        <v>10949.0</v>
      </c>
      <c r="J129" s="6">
        <v>94.39</v>
      </c>
      <c r="K129" s="6" t="s">
        <v>51</v>
      </c>
    </row>
    <row r="130">
      <c r="A130" s="6" t="s">
        <v>12</v>
      </c>
      <c r="B130" s="6" t="s">
        <v>13</v>
      </c>
      <c r="C130" s="6">
        <v>15.0</v>
      </c>
      <c r="D130" s="6">
        <v>16150.0</v>
      </c>
      <c r="E130" s="6">
        <v>1079.0</v>
      </c>
      <c r="F130" s="6">
        <v>1802.0</v>
      </c>
      <c r="G130" s="6">
        <v>811.0</v>
      </c>
      <c r="H130" s="6">
        <v>4016.0</v>
      </c>
      <c r="I130" s="6">
        <v>19050.0</v>
      </c>
      <c r="J130" s="6">
        <v>106.76</v>
      </c>
      <c r="K130" s="6" t="s">
        <v>50</v>
      </c>
    </row>
    <row r="131">
      <c r="A131" s="6" t="s">
        <v>15</v>
      </c>
      <c r="B131" s="6" t="s">
        <v>12</v>
      </c>
      <c r="C131" s="6">
        <v>30.0</v>
      </c>
      <c r="D131" s="6">
        <v>10668.0</v>
      </c>
      <c r="E131" s="6">
        <v>4629.0</v>
      </c>
      <c r="F131" s="6">
        <v>612.0</v>
      </c>
      <c r="G131" s="6">
        <v>305.0</v>
      </c>
      <c r="H131" s="6">
        <v>3840.0</v>
      </c>
      <c r="I131" s="6">
        <v>7901.0</v>
      </c>
      <c r="J131" s="6">
        <v>94.99</v>
      </c>
      <c r="K131" s="6" t="s">
        <v>51</v>
      </c>
    </row>
    <row r="132">
      <c r="A132" s="6" t="s">
        <v>15</v>
      </c>
      <c r="B132" s="6" t="s">
        <v>13</v>
      </c>
      <c r="C132" s="6">
        <v>10.0</v>
      </c>
      <c r="D132" s="6">
        <v>9236.0</v>
      </c>
      <c r="E132" s="6">
        <v>3502.0</v>
      </c>
      <c r="F132" s="6">
        <v>1877.0</v>
      </c>
      <c r="G132" s="6">
        <v>212.0</v>
      </c>
      <c r="H132" s="6">
        <v>6910.0</v>
      </c>
      <c r="I132" s="6">
        <v>1719.0</v>
      </c>
      <c r="J132" s="6">
        <v>125.02</v>
      </c>
      <c r="K132" s="6" t="s">
        <v>50</v>
      </c>
    </row>
    <row r="133">
      <c r="A133" s="6" t="s">
        <v>14</v>
      </c>
      <c r="B133" s="6" t="s">
        <v>11</v>
      </c>
      <c r="C133" s="6">
        <v>15.0</v>
      </c>
      <c r="D133" s="6">
        <v>14959.0</v>
      </c>
      <c r="E133" s="6">
        <v>3971.0</v>
      </c>
      <c r="F133" s="6">
        <v>1154.0</v>
      </c>
      <c r="G133" s="6">
        <v>70.0</v>
      </c>
      <c r="H133" s="6">
        <v>553.0</v>
      </c>
      <c r="I133" s="6">
        <v>9597.0</v>
      </c>
      <c r="J133" s="6">
        <v>104.52</v>
      </c>
      <c r="K133" s="6" t="s">
        <v>50</v>
      </c>
    </row>
    <row r="134">
      <c r="A134" s="6" t="s">
        <v>13</v>
      </c>
      <c r="B134" s="6" t="s">
        <v>14</v>
      </c>
      <c r="C134" s="6">
        <v>15.0</v>
      </c>
      <c r="D134" s="6">
        <v>17935.0</v>
      </c>
      <c r="E134" s="6">
        <v>377.0</v>
      </c>
      <c r="F134" s="6">
        <v>538.0</v>
      </c>
      <c r="G134" s="6">
        <v>955.0</v>
      </c>
      <c r="H134" s="6">
        <v>3075.0</v>
      </c>
      <c r="I134" s="6">
        <v>7855.0</v>
      </c>
      <c r="J134" s="6">
        <v>120.05</v>
      </c>
      <c r="K134" s="6" t="s">
        <v>50</v>
      </c>
    </row>
    <row r="135">
      <c r="A135" s="6" t="s">
        <v>12</v>
      </c>
      <c r="B135" s="6" t="s">
        <v>11</v>
      </c>
      <c r="C135" s="6">
        <v>20.0</v>
      </c>
      <c r="D135" s="6">
        <v>13068.0</v>
      </c>
      <c r="E135" s="6">
        <v>332.0</v>
      </c>
      <c r="F135" s="6">
        <v>944.0</v>
      </c>
      <c r="G135" s="6">
        <v>972.0</v>
      </c>
      <c r="H135" s="6">
        <v>1115.0</v>
      </c>
      <c r="I135" s="6">
        <v>19678.0</v>
      </c>
      <c r="J135" s="6">
        <v>121.69</v>
      </c>
      <c r="K135" s="6" t="s">
        <v>50</v>
      </c>
    </row>
    <row r="136">
      <c r="A136" s="6" t="s">
        <v>13</v>
      </c>
      <c r="B136" s="6" t="s">
        <v>15</v>
      </c>
      <c r="C136" s="6">
        <v>20.0</v>
      </c>
      <c r="D136" s="6">
        <v>7235.0</v>
      </c>
      <c r="E136" s="6">
        <v>1652.0</v>
      </c>
      <c r="F136" s="6">
        <v>1161.0</v>
      </c>
      <c r="G136" s="6">
        <v>1347.0</v>
      </c>
      <c r="H136" s="6">
        <v>6444.0</v>
      </c>
      <c r="I136" s="6">
        <v>9263.0</v>
      </c>
      <c r="J136" s="6">
        <v>77.61</v>
      </c>
      <c r="K136" s="6" t="s">
        <v>50</v>
      </c>
    </row>
    <row r="137">
      <c r="A137" s="6" t="s">
        <v>14</v>
      </c>
      <c r="B137" s="6" t="s">
        <v>14</v>
      </c>
      <c r="C137" s="6">
        <v>30.0</v>
      </c>
      <c r="D137" s="6">
        <v>12295.0</v>
      </c>
      <c r="E137" s="6">
        <v>3370.0</v>
      </c>
      <c r="F137" s="6">
        <v>1267.0</v>
      </c>
      <c r="G137" s="6">
        <v>1194.0</v>
      </c>
      <c r="H137" s="6">
        <v>7904.0</v>
      </c>
      <c r="I137" s="6">
        <v>15520.0</v>
      </c>
      <c r="J137" s="6">
        <v>85.22</v>
      </c>
      <c r="K137" s="6" t="s">
        <v>51</v>
      </c>
    </row>
    <row r="138">
      <c r="A138" s="6" t="s">
        <v>15</v>
      </c>
      <c r="B138" s="6" t="s">
        <v>13</v>
      </c>
      <c r="C138" s="6">
        <v>15.0</v>
      </c>
      <c r="D138" s="6">
        <v>13392.0</v>
      </c>
      <c r="E138" s="6">
        <v>2509.0</v>
      </c>
      <c r="F138" s="6">
        <v>153.0</v>
      </c>
      <c r="G138" s="6">
        <v>340.0</v>
      </c>
      <c r="H138" s="6">
        <v>1454.0</v>
      </c>
      <c r="I138" s="6">
        <v>12874.0</v>
      </c>
      <c r="J138" s="6">
        <v>109.03</v>
      </c>
      <c r="K138" s="6" t="s">
        <v>50</v>
      </c>
    </row>
    <row r="139">
      <c r="A139" s="6" t="s">
        <v>13</v>
      </c>
      <c r="B139" s="6" t="s">
        <v>15</v>
      </c>
      <c r="C139" s="6">
        <v>15.0</v>
      </c>
      <c r="D139" s="6">
        <v>16390.0</v>
      </c>
      <c r="E139" s="6">
        <v>3612.0</v>
      </c>
      <c r="F139" s="6">
        <v>1856.0</v>
      </c>
      <c r="G139" s="6">
        <v>347.0</v>
      </c>
      <c r="H139" s="6">
        <v>2129.0</v>
      </c>
      <c r="I139" s="6">
        <v>15079.0</v>
      </c>
      <c r="J139" s="6">
        <v>92.69</v>
      </c>
      <c r="K139" s="6" t="s">
        <v>51</v>
      </c>
    </row>
    <row r="140">
      <c r="A140" s="6" t="s">
        <v>15</v>
      </c>
      <c r="B140" s="6" t="s">
        <v>14</v>
      </c>
      <c r="C140" s="6">
        <v>20.0</v>
      </c>
      <c r="D140" s="6">
        <v>13448.0</v>
      </c>
      <c r="E140" s="6">
        <v>125.0</v>
      </c>
      <c r="F140" s="6">
        <v>1169.0</v>
      </c>
      <c r="G140" s="6">
        <v>1337.0</v>
      </c>
      <c r="H140" s="6">
        <v>7359.0</v>
      </c>
      <c r="I140" s="6">
        <v>18082.0</v>
      </c>
      <c r="J140" s="6">
        <v>95.23</v>
      </c>
      <c r="K140" s="6" t="s">
        <v>51</v>
      </c>
    </row>
    <row r="141">
      <c r="A141" s="6" t="s">
        <v>15</v>
      </c>
      <c r="B141" s="6" t="s">
        <v>13</v>
      </c>
      <c r="C141" s="6">
        <v>10.0</v>
      </c>
      <c r="D141" s="6">
        <v>8747.0</v>
      </c>
      <c r="E141" s="6">
        <v>560.0</v>
      </c>
      <c r="F141" s="6">
        <v>1496.0</v>
      </c>
      <c r="G141" s="6">
        <v>1371.0</v>
      </c>
      <c r="H141" s="6">
        <v>9341.0</v>
      </c>
      <c r="I141" s="6">
        <v>8243.0</v>
      </c>
      <c r="J141" s="6">
        <v>125.73</v>
      </c>
      <c r="K141" s="6" t="s">
        <v>51</v>
      </c>
    </row>
    <row r="142">
      <c r="A142" s="6" t="s">
        <v>11</v>
      </c>
      <c r="B142" s="6" t="s">
        <v>11</v>
      </c>
      <c r="C142" s="6">
        <v>10.0</v>
      </c>
      <c r="D142" s="6">
        <v>17834.0</v>
      </c>
      <c r="E142" s="6">
        <v>3864.0</v>
      </c>
      <c r="F142" s="6">
        <v>1964.0</v>
      </c>
      <c r="G142" s="6">
        <v>648.0</v>
      </c>
      <c r="H142" s="6">
        <v>3778.0</v>
      </c>
      <c r="I142" s="6">
        <v>10018.0</v>
      </c>
      <c r="J142" s="6">
        <v>93.79</v>
      </c>
      <c r="K142" s="6" t="s">
        <v>50</v>
      </c>
    </row>
    <row r="143">
      <c r="A143" s="6" t="s">
        <v>13</v>
      </c>
      <c r="B143" s="6" t="s">
        <v>14</v>
      </c>
      <c r="C143" s="6">
        <v>25.0</v>
      </c>
      <c r="D143" s="6">
        <v>15433.0</v>
      </c>
      <c r="E143" s="6">
        <v>3531.0</v>
      </c>
      <c r="F143" s="6">
        <v>1271.0</v>
      </c>
      <c r="G143" s="6">
        <v>284.0</v>
      </c>
      <c r="H143" s="6">
        <v>5955.0</v>
      </c>
      <c r="I143" s="6">
        <v>17732.0</v>
      </c>
      <c r="J143" s="6">
        <v>80.62</v>
      </c>
      <c r="K143" s="6" t="s">
        <v>50</v>
      </c>
    </row>
    <row r="144">
      <c r="A144" s="6" t="s">
        <v>13</v>
      </c>
      <c r="B144" s="6" t="s">
        <v>13</v>
      </c>
      <c r="C144" s="6">
        <v>20.0</v>
      </c>
      <c r="D144" s="6">
        <v>8175.0</v>
      </c>
      <c r="E144" s="6">
        <v>3583.0</v>
      </c>
      <c r="F144" s="6">
        <v>1074.0</v>
      </c>
      <c r="G144" s="6">
        <v>1197.0</v>
      </c>
      <c r="H144" s="6">
        <v>4301.0</v>
      </c>
      <c r="I144" s="6">
        <v>13100.0</v>
      </c>
      <c r="J144" s="6">
        <v>83.32</v>
      </c>
      <c r="K144" s="6" t="s">
        <v>50</v>
      </c>
    </row>
    <row r="145">
      <c r="A145" s="6" t="s">
        <v>15</v>
      </c>
      <c r="B145" s="6" t="s">
        <v>11</v>
      </c>
      <c r="C145" s="6">
        <v>25.0</v>
      </c>
      <c r="D145" s="6">
        <v>16798.0</v>
      </c>
      <c r="E145" s="6">
        <v>2094.0</v>
      </c>
      <c r="F145" s="6">
        <v>1056.0</v>
      </c>
      <c r="G145" s="6">
        <v>1476.0</v>
      </c>
      <c r="H145" s="6">
        <v>3061.0</v>
      </c>
      <c r="I145" s="6">
        <v>17691.0</v>
      </c>
      <c r="J145" s="6">
        <v>143.65</v>
      </c>
      <c r="K145" s="6" t="s">
        <v>51</v>
      </c>
    </row>
    <row r="146">
      <c r="A146" s="6" t="s">
        <v>14</v>
      </c>
      <c r="B146" s="6" t="s">
        <v>15</v>
      </c>
      <c r="C146" s="6">
        <v>20.0</v>
      </c>
      <c r="D146" s="6">
        <v>16528.0</v>
      </c>
      <c r="E146" s="6">
        <v>590.0</v>
      </c>
      <c r="F146" s="6">
        <v>456.0</v>
      </c>
      <c r="G146" s="6">
        <v>328.0</v>
      </c>
      <c r="H146" s="6">
        <v>7039.0</v>
      </c>
      <c r="I146" s="6">
        <v>5820.0</v>
      </c>
      <c r="J146" s="6">
        <v>96.44</v>
      </c>
      <c r="K146" s="6" t="s">
        <v>50</v>
      </c>
    </row>
    <row r="147">
      <c r="A147" s="6" t="s">
        <v>11</v>
      </c>
      <c r="B147" s="6" t="s">
        <v>15</v>
      </c>
      <c r="C147" s="6">
        <v>30.0</v>
      </c>
      <c r="D147" s="6">
        <v>9897.0</v>
      </c>
      <c r="E147" s="6">
        <v>1172.0</v>
      </c>
      <c r="F147" s="6">
        <v>1451.0</v>
      </c>
      <c r="G147" s="6">
        <v>598.0</v>
      </c>
      <c r="H147" s="6">
        <v>870.0</v>
      </c>
      <c r="I147" s="6">
        <v>12001.0</v>
      </c>
      <c r="J147" s="6">
        <v>72.72</v>
      </c>
      <c r="K147" s="6" t="s">
        <v>50</v>
      </c>
    </row>
    <row r="148">
      <c r="A148" s="6" t="s">
        <v>15</v>
      </c>
      <c r="B148" s="6" t="s">
        <v>15</v>
      </c>
      <c r="C148" s="6">
        <v>15.0</v>
      </c>
      <c r="D148" s="6">
        <v>10037.0</v>
      </c>
      <c r="E148" s="6">
        <v>3273.0</v>
      </c>
      <c r="F148" s="6">
        <v>216.0</v>
      </c>
      <c r="G148" s="6">
        <v>513.0</v>
      </c>
      <c r="H148" s="6">
        <v>1357.0</v>
      </c>
      <c r="I148" s="6">
        <v>14907.0</v>
      </c>
      <c r="J148" s="6">
        <v>64.61</v>
      </c>
      <c r="K148" s="6" t="s">
        <v>51</v>
      </c>
    </row>
    <row r="149">
      <c r="A149" s="6" t="s">
        <v>12</v>
      </c>
      <c r="B149" s="6" t="s">
        <v>15</v>
      </c>
      <c r="C149" s="6">
        <v>30.0</v>
      </c>
      <c r="D149" s="6">
        <v>12427.0</v>
      </c>
      <c r="E149" s="6">
        <v>315.0</v>
      </c>
      <c r="F149" s="6">
        <v>558.0</v>
      </c>
      <c r="G149" s="6">
        <v>396.0</v>
      </c>
      <c r="H149" s="6">
        <v>5386.0</v>
      </c>
      <c r="I149" s="6">
        <v>12669.0</v>
      </c>
      <c r="J149" s="6">
        <v>87.51</v>
      </c>
      <c r="K149" s="6" t="s">
        <v>51</v>
      </c>
    </row>
    <row r="150">
      <c r="A150" s="6" t="s">
        <v>12</v>
      </c>
      <c r="B150" s="6" t="s">
        <v>12</v>
      </c>
      <c r="C150" s="6">
        <v>20.0</v>
      </c>
      <c r="D150" s="6">
        <v>13605.0</v>
      </c>
      <c r="E150" s="6">
        <v>1823.0</v>
      </c>
      <c r="F150" s="6">
        <v>1711.0</v>
      </c>
      <c r="G150" s="6">
        <v>879.0</v>
      </c>
      <c r="H150" s="6">
        <v>7985.0</v>
      </c>
      <c r="I150" s="6">
        <v>16916.0</v>
      </c>
      <c r="J150" s="6">
        <v>96.07</v>
      </c>
      <c r="K150" s="6" t="s">
        <v>51</v>
      </c>
    </row>
    <row r="151">
      <c r="A151" s="6" t="s">
        <v>11</v>
      </c>
      <c r="B151" s="6" t="s">
        <v>14</v>
      </c>
      <c r="C151" s="6">
        <v>15.0</v>
      </c>
      <c r="D151" s="6">
        <v>7014.0</v>
      </c>
      <c r="E151" s="6">
        <v>1692.0</v>
      </c>
      <c r="F151" s="6">
        <v>362.0</v>
      </c>
      <c r="G151" s="6">
        <v>842.0</v>
      </c>
      <c r="H151" s="6">
        <v>883.0</v>
      </c>
      <c r="I151" s="6">
        <v>11878.0</v>
      </c>
      <c r="J151" s="6">
        <v>118.98</v>
      </c>
      <c r="K151" s="6" t="s">
        <v>51</v>
      </c>
    </row>
    <row r="152">
      <c r="A152" s="6" t="s">
        <v>14</v>
      </c>
      <c r="B152" s="6" t="s">
        <v>14</v>
      </c>
      <c r="C152" s="6">
        <v>10.0</v>
      </c>
      <c r="D152" s="6">
        <v>6381.0</v>
      </c>
      <c r="E152" s="6">
        <v>2706.0</v>
      </c>
      <c r="F152" s="6">
        <v>1666.0</v>
      </c>
      <c r="G152" s="6">
        <v>1024.0</v>
      </c>
      <c r="H152" s="6">
        <v>4834.0</v>
      </c>
      <c r="I152" s="6">
        <v>3985.0</v>
      </c>
      <c r="J152" s="6">
        <v>117.05</v>
      </c>
      <c r="K152" s="6" t="s">
        <v>51</v>
      </c>
    </row>
    <row r="153">
      <c r="A153" s="6" t="s">
        <v>15</v>
      </c>
      <c r="B153" s="6" t="s">
        <v>12</v>
      </c>
      <c r="C153" s="6">
        <v>10.0</v>
      </c>
      <c r="D153" s="6">
        <v>6098.0</v>
      </c>
      <c r="E153" s="6">
        <v>258.0</v>
      </c>
      <c r="F153" s="6">
        <v>1491.0</v>
      </c>
      <c r="G153" s="6">
        <v>612.0</v>
      </c>
      <c r="H153" s="6">
        <v>4790.0</v>
      </c>
      <c r="I153" s="6">
        <v>9112.0</v>
      </c>
      <c r="J153" s="6">
        <v>99.87</v>
      </c>
      <c r="K153" s="6" t="s">
        <v>51</v>
      </c>
    </row>
    <row r="154">
      <c r="A154" s="6" t="s">
        <v>13</v>
      </c>
      <c r="B154" s="6" t="s">
        <v>13</v>
      </c>
      <c r="C154" s="6">
        <v>25.0</v>
      </c>
      <c r="D154" s="6">
        <v>8426.0</v>
      </c>
      <c r="E154" s="6">
        <v>4881.0</v>
      </c>
      <c r="F154" s="6">
        <v>812.0</v>
      </c>
      <c r="G154" s="6">
        <v>700.0</v>
      </c>
      <c r="H154" s="6">
        <v>3225.0</v>
      </c>
      <c r="I154" s="6">
        <v>9467.0</v>
      </c>
      <c r="J154" s="6">
        <v>90.92</v>
      </c>
      <c r="K154" s="6" t="s">
        <v>50</v>
      </c>
    </row>
    <row r="155">
      <c r="A155" s="6" t="s">
        <v>11</v>
      </c>
      <c r="B155" s="6" t="s">
        <v>13</v>
      </c>
      <c r="C155" s="6">
        <v>20.0</v>
      </c>
      <c r="D155" s="6">
        <v>8655.0</v>
      </c>
      <c r="E155" s="6">
        <v>3413.0</v>
      </c>
      <c r="F155" s="6">
        <v>730.0</v>
      </c>
      <c r="G155" s="6">
        <v>503.0</v>
      </c>
      <c r="H155" s="6">
        <v>6704.0</v>
      </c>
      <c r="I155" s="6">
        <v>19931.0</v>
      </c>
      <c r="J155" s="6">
        <v>106.79</v>
      </c>
      <c r="K155" s="6" t="s">
        <v>51</v>
      </c>
    </row>
    <row r="156">
      <c r="A156" s="6" t="s">
        <v>14</v>
      </c>
      <c r="B156" s="6" t="s">
        <v>15</v>
      </c>
      <c r="C156" s="6">
        <v>20.0</v>
      </c>
      <c r="D156" s="6">
        <v>12938.0</v>
      </c>
      <c r="E156" s="6">
        <v>2941.0</v>
      </c>
      <c r="F156" s="6">
        <v>526.0</v>
      </c>
      <c r="G156" s="6">
        <v>499.0</v>
      </c>
      <c r="H156" s="6">
        <v>6611.0</v>
      </c>
      <c r="I156" s="6">
        <v>1336.0</v>
      </c>
      <c r="J156" s="6">
        <v>65.03</v>
      </c>
      <c r="K156" s="6" t="s">
        <v>50</v>
      </c>
    </row>
    <row r="157">
      <c r="A157" s="6" t="s">
        <v>13</v>
      </c>
      <c r="B157" s="6" t="s">
        <v>11</v>
      </c>
      <c r="C157" s="6">
        <v>10.0</v>
      </c>
      <c r="D157" s="6">
        <v>14101.0</v>
      </c>
      <c r="E157" s="6">
        <v>1876.0</v>
      </c>
      <c r="F157" s="6">
        <v>122.0</v>
      </c>
      <c r="G157" s="6">
        <v>730.0</v>
      </c>
      <c r="H157" s="6">
        <v>4751.0</v>
      </c>
      <c r="I157" s="6">
        <v>11165.0</v>
      </c>
      <c r="J157" s="6">
        <v>139.62</v>
      </c>
      <c r="K157" s="6" t="s">
        <v>50</v>
      </c>
    </row>
    <row r="158">
      <c r="A158" s="6" t="s">
        <v>12</v>
      </c>
      <c r="B158" s="6" t="s">
        <v>13</v>
      </c>
      <c r="C158" s="6">
        <v>30.0</v>
      </c>
      <c r="D158" s="6">
        <v>5187.0</v>
      </c>
      <c r="E158" s="6">
        <v>2152.0</v>
      </c>
      <c r="F158" s="6">
        <v>1214.0</v>
      </c>
      <c r="G158" s="6">
        <v>1106.0</v>
      </c>
      <c r="H158" s="6">
        <v>1422.0</v>
      </c>
      <c r="I158" s="6">
        <v>13768.0</v>
      </c>
      <c r="J158" s="6">
        <v>113.08</v>
      </c>
      <c r="K158" s="6" t="s">
        <v>50</v>
      </c>
    </row>
    <row r="159">
      <c r="A159" s="6" t="s">
        <v>12</v>
      </c>
      <c r="B159" s="6" t="s">
        <v>11</v>
      </c>
      <c r="C159" s="6">
        <v>15.0</v>
      </c>
      <c r="D159" s="6">
        <v>17236.0</v>
      </c>
      <c r="E159" s="6">
        <v>2395.0</v>
      </c>
      <c r="F159" s="6">
        <v>631.0</v>
      </c>
      <c r="G159" s="6">
        <v>518.0</v>
      </c>
      <c r="H159" s="6">
        <v>3415.0</v>
      </c>
      <c r="I159" s="6">
        <v>4968.0</v>
      </c>
      <c r="J159" s="6">
        <v>117.34</v>
      </c>
      <c r="K159" s="6" t="s">
        <v>51</v>
      </c>
    </row>
    <row r="160">
      <c r="A160" s="6" t="s">
        <v>13</v>
      </c>
      <c r="B160" s="6" t="s">
        <v>14</v>
      </c>
      <c r="C160" s="6">
        <v>30.0</v>
      </c>
      <c r="D160" s="6">
        <v>16948.0</v>
      </c>
      <c r="E160" s="6">
        <v>1796.0</v>
      </c>
      <c r="F160" s="6">
        <v>311.0</v>
      </c>
      <c r="G160" s="6">
        <v>399.0</v>
      </c>
      <c r="H160" s="6">
        <v>8457.0</v>
      </c>
      <c r="I160" s="6">
        <v>1910.0</v>
      </c>
      <c r="J160" s="6">
        <v>78.52</v>
      </c>
      <c r="K160" s="6" t="s">
        <v>50</v>
      </c>
    </row>
    <row r="161">
      <c r="A161" s="6" t="s">
        <v>11</v>
      </c>
      <c r="B161" s="6" t="s">
        <v>11</v>
      </c>
      <c r="C161" s="6">
        <v>30.0</v>
      </c>
      <c r="D161" s="6">
        <v>15207.0</v>
      </c>
      <c r="E161" s="6">
        <v>3093.0</v>
      </c>
      <c r="F161" s="6">
        <v>1413.0</v>
      </c>
      <c r="G161" s="6">
        <v>304.0</v>
      </c>
      <c r="H161" s="6">
        <v>3546.0</v>
      </c>
      <c r="I161" s="6">
        <v>19380.0</v>
      </c>
      <c r="J161" s="6">
        <v>125.65</v>
      </c>
      <c r="K161" s="6" t="s">
        <v>51</v>
      </c>
    </row>
    <row r="162">
      <c r="A162" s="6" t="s">
        <v>12</v>
      </c>
      <c r="B162" s="6" t="s">
        <v>14</v>
      </c>
      <c r="C162" s="6">
        <v>10.0</v>
      </c>
      <c r="D162" s="6">
        <v>10409.0</v>
      </c>
      <c r="E162" s="6">
        <v>2569.0</v>
      </c>
      <c r="F162" s="6">
        <v>1381.0</v>
      </c>
      <c r="G162" s="6">
        <v>1402.0</v>
      </c>
      <c r="H162" s="6">
        <v>9666.0</v>
      </c>
      <c r="I162" s="6">
        <v>16632.0</v>
      </c>
      <c r="J162" s="6">
        <v>90.8</v>
      </c>
      <c r="K162" s="6" t="s">
        <v>51</v>
      </c>
    </row>
    <row r="163">
      <c r="A163" s="6" t="s">
        <v>15</v>
      </c>
      <c r="B163" s="6" t="s">
        <v>12</v>
      </c>
      <c r="C163" s="6">
        <v>10.0</v>
      </c>
      <c r="D163" s="6">
        <v>7092.0</v>
      </c>
      <c r="E163" s="6">
        <v>2046.0</v>
      </c>
      <c r="F163" s="6">
        <v>294.0</v>
      </c>
      <c r="G163" s="6">
        <v>805.0</v>
      </c>
      <c r="H163" s="6">
        <v>1730.0</v>
      </c>
      <c r="I163" s="6">
        <v>17279.0</v>
      </c>
      <c r="J163" s="6">
        <v>80.95</v>
      </c>
      <c r="K163" s="6" t="s">
        <v>50</v>
      </c>
    </row>
    <row r="164">
      <c r="A164" s="6" t="s">
        <v>13</v>
      </c>
      <c r="B164" s="6" t="s">
        <v>12</v>
      </c>
      <c r="C164" s="6">
        <v>10.0</v>
      </c>
      <c r="D164" s="6">
        <v>16836.0</v>
      </c>
      <c r="E164" s="6">
        <v>3909.0</v>
      </c>
      <c r="F164" s="6">
        <v>1588.0</v>
      </c>
      <c r="G164" s="6">
        <v>874.0</v>
      </c>
      <c r="H164" s="6">
        <v>8147.0</v>
      </c>
      <c r="I164" s="6">
        <v>4129.0</v>
      </c>
      <c r="J164" s="6">
        <v>99.22</v>
      </c>
      <c r="K164" s="6" t="s">
        <v>51</v>
      </c>
    </row>
    <row r="165">
      <c r="A165" s="6" t="s">
        <v>13</v>
      </c>
      <c r="B165" s="6" t="s">
        <v>15</v>
      </c>
      <c r="C165" s="6">
        <v>25.0</v>
      </c>
      <c r="D165" s="6">
        <v>7130.0</v>
      </c>
      <c r="E165" s="6">
        <v>2883.0</v>
      </c>
      <c r="F165" s="6">
        <v>1410.0</v>
      </c>
      <c r="G165" s="6">
        <v>558.0</v>
      </c>
      <c r="H165" s="6">
        <v>5433.0</v>
      </c>
      <c r="I165" s="6">
        <v>6447.0</v>
      </c>
      <c r="J165" s="6">
        <v>98.75</v>
      </c>
      <c r="K165" s="6" t="s">
        <v>50</v>
      </c>
    </row>
    <row r="166">
      <c r="A166" s="6" t="s">
        <v>12</v>
      </c>
      <c r="B166" s="6" t="s">
        <v>13</v>
      </c>
      <c r="C166" s="6">
        <v>30.0</v>
      </c>
      <c r="D166" s="6">
        <v>10242.0</v>
      </c>
      <c r="E166" s="6">
        <v>3744.0</v>
      </c>
      <c r="F166" s="6">
        <v>1648.0</v>
      </c>
      <c r="G166" s="6">
        <v>658.0</v>
      </c>
      <c r="H166" s="6">
        <v>4440.0</v>
      </c>
      <c r="I166" s="6">
        <v>7129.0</v>
      </c>
      <c r="J166" s="6">
        <v>78.43</v>
      </c>
      <c r="K166" s="6" t="s">
        <v>50</v>
      </c>
    </row>
    <row r="167">
      <c r="A167" s="6" t="s">
        <v>11</v>
      </c>
      <c r="B167" s="6" t="s">
        <v>15</v>
      </c>
      <c r="C167" s="6">
        <v>20.0</v>
      </c>
      <c r="D167" s="6">
        <v>13549.0</v>
      </c>
      <c r="E167" s="6">
        <v>2600.0</v>
      </c>
      <c r="F167" s="6">
        <v>610.0</v>
      </c>
      <c r="G167" s="6">
        <v>577.0</v>
      </c>
      <c r="H167" s="6">
        <v>6983.0</v>
      </c>
      <c r="I167" s="6">
        <v>6850.0</v>
      </c>
      <c r="J167" s="6">
        <v>82.1</v>
      </c>
      <c r="K167" s="6" t="s">
        <v>51</v>
      </c>
    </row>
    <row r="168">
      <c r="A168" s="6" t="s">
        <v>15</v>
      </c>
      <c r="B168" s="6" t="s">
        <v>14</v>
      </c>
      <c r="C168" s="6">
        <v>15.0</v>
      </c>
      <c r="D168" s="6">
        <v>10647.0</v>
      </c>
      <c r="E168" s="6">
        <v>3745.0</v>
      </c>
      <c r="F168" s="6">
        <v>1149.0</v>
      </c>
      <c r="G168" s="6">
        <v>1220.0</v>
      </c>
      <c r="H168" s="6">
        <v>703.0</v>
      </c>
      <c r="I168" s="6">
        <v>8446.0</v>
      </c>
      <c r="J168" s="6">
        <v>80.54</v>
      </c>
      <c r="K168" s="6" t="s">
        <v>50</v>
      </c>
    </row>
    <row r="169">
      <c r="A169" s="6" t="s">
        <v>11</v>
      </c>
      <c r="B169" s="6" t="s">
        <v>15</v>
      </c>
      <c r="C169" s="6">
        <v>25.0</v>
      </c>
      <c r="D169" s="6">
        <v>10185.0</v>
      </c>
      <c r="E169" s="6">
        <v>2745.0</v>
      </c>
      <c r="F169" s="6">
        <v>1953.0</v>
      </c>
      <c r="G169" s="6">
        <v>862.0</v>
      </c>
      <c r="H169" s="6">
        <v>660.0</v>
      </c>
      <c r="I169" s="6">
        <v>12949.0</v>
      </c>
      <c r="J169" s="6">
        <v>80.73</v>
      </c>
      <c r="K169" s="6" t="s">
        <v>50</v>
      </c>
    </row>
    <row r="170">
      <c r="A170" s="6" t="s">
        <v>14</v>
      </c>
      <c r="B170" s="6" t="s">
        <v>11</v>
      </c>
      <c r="C170" s="6">
        <v>20.0</v>
      </c>
      <c r="D170" s="6">
        <v>10776.0</v>
      </c>
      <c r="E170" s="6">
        <v>2449.0</v>
      </c>
      <c r="F170" s="6">
        <v>224.0</v>
      </c>
      <c r="G170" s="6">
        <v>779.0</v>
      </c>
      <c r="H170" s="6">
        <v>9460.0</v>
      </c>
      <c r="I170" s="6">
        <v>9519.0</v>
      </c>
      <c r="J170" s="6">
        <v>92.24</v>
      </c>
      <c r="K170" s="6" t="s">
        <v>50</v>
      </c>
    </row>
    <row r="171">
      <c r="A171" s="6" t="s">
        <v>14</v>
      </c>
      <c r="B171" s="6" t="s">
        <v>14</v>
      </c>
      <c r="C171" s="6">
        <v>30.0</v>
      </c>
      <c r="D171" s="6">
        <v>15614.0</v>
      </c>
      <c r="E171" s="6">
        <v>2032.0</v>
      </c>
      <c r="F171" s="6">
        <v>158.0</v>
      </c>
      <c r="G171" s="6">
        <v>454.0</v>
      </c>
      <c r="H171" s="6">
        <v>4248.0</v>
      </c>
      <c r="I171" s="6">
        <v>1314.0</v>
      </c>
      <c r="J171" s="6">
        <v>72.22</v>
      </c>
      <c r="K171" s="6" t="s">
        <v>51</v>
      </c>
    </row>
    <row r="172">
      <c r="A172" s="6" t="s">
        <v>12</v>
      </c>
      <c r="B172" s="6" t="s">
        <v>12</v>
      </c>
      <c r="C172" s="6">
        <v>10.0</v>
      </c>
      <c r="D172" s="6">
        <v>17449.0</v>
      </c>
      <c r="E172" s="6">
        <v>3394.0</v>
      </c>
      <c r="F172" s="6">
        <v>232.0</v>
      </c>
      <c r="G172" s="6">
        <v>372.0</v>
      </c>
      <c r="H172" s="6">
        <v>7218.0</v>
      </c>
      <c r="I172" s="6">
        <v>12737.0</v>
      </c>
      <c r="J172" s="6">
        <v>86.17</v>
      </c>
      <c r="K172" s="6" t="s">
        <v>50</v>
      </c>
    </row>
    <row r="173">
      <c r="A173" s="6" t="s">
        <v>12</v>
      </c>
      <c r="B173" s="6" t="s">
        <v>13</v>
      </c>
      <c r="C173" s="6">
        <v>30.0</v>
      </c>
      <c r="D173" s="6">
        <v>12913.0</v>
      </c>
      <c r="E173" s="6">
        <v>1857.0</v>
      </c>
      <c r="F173" s="6">
        <v>241.0</v>
      </c>
      <c r="G173" s="6">
        <v>132.0</v>
      </c>
      <c r="H173" s="6">
        <v>3081.0</v>
      </c>
      <c r="I173" s="6">
        <v>2134.0</v>
      </c>
      <c r="J173" s="6">
        <v>120.9</v>
      </c>
      <c r="K173" s="6" t="s">
        <v>51</v>
      </c>
    </row>
    <row r="174">
      <c r="A174" s="6" t="s">
        <v>12</v>
      </c>
      <c r="B174" s="6" t="s">
        <v>14</v>
      </c>
      <c r="C174" s="6">
        <v>15.0</v>
      </c>
      <c r="D174" s="6">
        <v>12547.0</v>
      </c>
      <c r="E174" s="6">
        <v>1216.0</v>
      </c>
      <c r="F174" s="6">
        <v>114.0</v>
      </c>
      <c r="G174" s="6">
        <v>1221.0</v>
      </c>
      <c r="H174" s="6">
        <v>1593.0</v>
      </c>
      <c r="I174" s="6">
        <v>11938.0</v>
      </c>
      <c r="J174" s="6">
        <v>116.47</v>
      </c>
      <c r="K174" s="6" t="s">
        <v>51</v>
      </c>
    </row>
    <row r="175">
      <c r="A175" s="6" t="s">
        <v>14</v>
      </c>
      <c r="B175" s="6" t="s">
        <v>14</v>
      </c>
      <c r="C175" s="6">
        <v>25.0</v>
      </c>
      <c r="D175" s="6">
        <v>12823.0</v>
      </c>
      <c r="E175" s="6">
        <v>2667.0</v>
      </c>
      <c r="F175" s="6">
        <v>1922.0</v>
      </c>
      <c r="G175" s="6">
        <v>751.0</v>
      </c>
      <c r="H175" s="6">
        <v>5000.0</v>
      </c>
      <c r="I175" s="6">
        <v>16588.0</v>
      </c>
      <c r="J175" s="6">
        <v>79.0</v>
      </c>
      <c r="K175" s="6" t="s">
        <v>50</v>
      </c>
    </row>
    <row r="176">
      <c r="A176" s="6" t="s">
        <v>11</v>
      </c>
      <c r="B176" s="6" t="s">
        <v>11</v>
      </c>
      <c r="C176" s="6">
        <v>25.0</v>
      </c>
      <c r="D176" s="6">
        <v>12355.0</v>
      </c>
      <c r="E176" s="6">
        <v>3599.0</v>
      </c>
      <c r="F176" s="6">
        <v>1012.0</v>
      </c>
      <c r="G176" s="6">
        <v>689.0</v>
      </c>
      <c r="H176" s="6">
        <v>9299.0</v>
      </c>
      <c r="I176" s="6">
        <v>9347.0</v>
      </c>
      <c r="J176" s="6">
        <v>119.16</v>
      </c>
      <c r="K176" s="6" t="s">
        <v>50</v>
      </c>
    </row>
    <row r="177">
      <c r="A177" s="6" t="s">
        <v>11</v>
      </c>
      <c r="B177" s="6" t="s">
        <v>13</v>
      </c>
      <c r="C177" s="6">
        <v>15.0</v>
      </c>
      <c r="D177" s="6">
        <v>11465.0</v>
      </c>
      <c r="E177" s="6">
        <v>592.0</v>
      </c>
      <c r="F177" s="6">
        <v>1547.0</v>
      </c>
      <c r="G177" s="6">
        <v>429.0</v>
      </c>
      <c r="H177" s="6">
        <v>6210.0</v>
      </c>
      <c r="I177" s="6">
        <v>6592.0</v>
      </c>
      <c r="J177" s="6">
        <v>60.67</v>
      </c>
      <c r="K177" s="6" t="s">
        <v>51</v>
      </c>
    </row>
    <row r="178">
      <c r="A178" s="6" t="s">
        <v>12</v>
      </c>
      <c r="B178" s="6" t="s">
        <v>12</v>
      </c>
      <c r="C178" s="6">
        <v>20.0</v>
      </c>
      <c r="D178" s="6">
        <v>17737.0</v>
      </c>
      <c r="E178" s="6">
        <v>3406.0</v>
      </c>
      <c r="F178" s="6">
        <v>1856.0</v>
      </c>
      <c r="G178" s="6">
        <v>1285.0</v>
      </c>
      <c r="H178" s="6">
        <v>3375.0</v>
      </c>
      <c r="I178" s="6">
        <v>19108.0</v>
      </c>
      <c r="J178" s="6">
        <v>148.58</v>
      </c>
      <c r="K178" s="6" t="s">
        <v>51</v>
      </c>
    </row>
    <row r="179">
      <c r="A179" s="6" t="s">
        <v>15</v>
      </c>
      <c r="B179" s="6" t="s">
        <v>14</v>
      </c>
      <c r="C179" s="6">
        <v>20.0</v>
      </c>
      <c r="D179" s="6">
        <v>6497.0</v>
      </c>
      <c r="E179" s="6">
        <v>719.0</v>
      </c>
      <c r="F179" s="6">
        <v>1173.0</v>
      </c>
      <c r="G179" s="6">
        <v>1368.0</v>
      </c>
      <c r="H179" s="6">
        <v>3691.0</v>
      </c>
      <c r="I179" s="6">
        <v>18270.0</v>
      </c>
      <c r="J179" s="6">
        <v>126.01</v>
      </c>
      <c r="K179" s="6" t="s">
        <v>50</v>
      </c>
    </row>
    <row r="180">
      <c r="A180" s="6" t="s">
        <v>11</v>
      </c>
      <c r="B180" s="6" t="s">
        <v>14</v>
      </c>
      <c r="C180" s="6">
        <v>25.0</v>
      </c>
      <c r="D180" s="6">
        <v>18324.0</v>
      </c>
      <c r="E180" s="6">
        <v>3332.0</v>
      </c>
      <c r="F180" s="6">
        <v>1617.0</v>
      </c>
      <c r="G180" s="6">
        <v>101.0</v>
      </c>
      <c r="H180" s="6">
        <v>2337.0</v>
      </c>
      <c r="I180" s="6">
        <v>11997.0</v>
      </c>
      <c r="J180" s="6">
        <v>88.81</v>
      </c>
      <c r="K180" s="6" t="s">
        <v>50</v>
      </c>
    </row>
    <row r="181">
      <c r="A181" s="6" t="s">
        <v>14</v>
      </c>
      <c r="B181" s="6" t="s">
        <v>11</v>
      </c>
      <c r="C181" s="6">
        <v>25.0</v>
      </c>
      <c r="D181" s="6">
        <v>19519.0</v>
      </c>
      <c r="E181" s="6">
        <v>3923.0</v>
      </c>
      <c r="F181" s="6">
        <v>913.0</v>
      </c>
      <c r="G181" s="6">
        <v>72.0</v>
      </c>
      <c r="H181" s="6">
        <v>1189.0</v>
      </c>
      <c r="I181" s="6">
        <v>1721.0</v>
      </c>
      <c r="J181" s="6">
        <v>107.65</v>
      </c>
      <c r="K181" s="6" t="s">
        <v>51</v>
      </c>
    </row>
    <row r="182">
      <c r="A182" s="6" t="s">
        <v>13</v>
      </c>
      <c r="B182" s="6" t="s">
        <v>15</v>
      </c>
      <c r="C182" s="6">
        <v>10.0</v>
      </c>
      <c r="D182" s="6">
        <v>15350.0</v>
      </c>
      <c r="E182" s="6">
        <v>2480.0</v>
      </c>
      <c r="F182" s="6">
        <v>1201.0</v>
      </c>
      <c r="G182" s="6">
        <v>521.0</v>
      </c>
      <c r="H182" s="6">
        <v>4259.0</v>
      </c>
      <c r="I182" s="6">
        <v>10104.0</v>
      </c>
      <c r="J182" s="6">
        <v>71.98</v>
      </c>
      <c r="K182" s="6" t="s">
        <v>51</v>
      </c>
    </row>
    <row r="183">
      <c r="A183" s="6" t="s">
        <v>13</v>
      </c>
      <c r="B183" s="6" t="s">
        <v>12</v>
      </c>
      <c r="C183" s="6">
        <v>20.0</v>
      </c>
      <c r="D183" s="6">
        <v>19238.0</v>
      </c>
      <c r="E183" s="6">
        <v>1646.0</v>
      </c>
      <c r="F183" s="6">
        <v>1525.0</v>
      </c>
      <c r="G183" s="6">
        <v>1172.0</v>
      </c>
      <c r="H183" s="6">
        <v>2603.0</v>
      </c>
      <c r="I183" s="6">
        <v>1870.0</v>
      </c>
      <c r="J183" s="6">
        <v>101.21</v>
      </c>
      <c r="K183" s="6" t="s">
        <v>51</v>
      </c>
    </row>
    <row r="184">
      <c r="A184" s="6" t="s">
        <v>13</v>
      </c>
      <c r="B184" s="6" t="s">
        <v>13</v>
      </c>
      <c r="C184" s="6">
        <v>15.0</v>
      </c>
      <c r="D184" s="6">
        <v>7555.0</v>
      </c>
      <c r="E184" s="6">
        <v>3663.0</v>
      </c>
      <c r="F184" s="6">
        <v>1987.0</v>
      </c>
      <c r="G184" s="6">
        <v>1218.0</v>
      </c>
      <c r="H184" s="6">
        <v>865.0</v>
      </c>
      <c r="I184" s="6">
        <v>7751.0</v>
      </c>
      <c r="J184" s="6">
        <v>96.33</v>
      </c>
      <c r="K184" s="6" t="s">
        <v>51</v>
      </c>
    </row>
    <row r="185">
      <c r="A185" s="6" t="s">
        <v>15</v>
      </c>
      <c r="B185" s="6" t="s">
        <v>14</v>
      </c>
      <c r="C185" s="6">
        <v>20.0</v>
      </c>
      <c r="D185" s="6">
        <v>10409.0</v>
      </c>
      <c r="E185" s="6">
        <v>1705.0</v>
      </c>
      <c r="F185" s="6">
        <v>418.0</v>
      </c>
      <c r="G185" s="6">
        <v>1238.0</v>
      </c>
      <c r="H185" s="6">
        <v>8592.0</v>
      </c>
      <c r="I185" s="6">
        <v>17881.0</v>
      </c>
      <c r="J185" s="6">
        <v>83.3</v>
      </c>
      <c r="K185" s="6" t="s">
        <v>51</v>
      </c>
    </row>
    <row r="186">
      <c r="A186" s="6" t="s">
        <v>12</v>
      </c>
      <c r="B186" s="6" t="s">
        <v>14</v>
      </c>
      <c r="C186" s="6">
        <v>10.0</v>
      </c>
      <c r="D186" s="6">
        <v>15534.0</v>
      </c>
      <c r="E186" s="6">
        <v>3852.0</v>
      </c>
      <c r="F186" s="6">
        <v>900.0</v>
      </c>
      <c r="G186" s="6">
        <v>781.0</v>
      </c>
      <c r="H186" s="6">
        <v>4672.0</v>
      </c>
      <c r="I186" s="6">
        <v>2756.0</v>
      </c>
      <c r="J186" s="6">
        <v>90.63</v>
      </c>
      <c r="K186" s="6" t="s">
        <v>50</v>
      </c>
    </row>
    <row r="187">
      <c r="A187" s="6" t="s">
        <v>14</v>
      </c>
      <c r="B187" s="6" t="s">
        <v>12</v>
      </c>
      <c r="C187" s="6">
        <v>25.0</v>
      </c>
      <c r="D187" s="6">
        <v>7951.0</v>
      </c>
      <c r="E187" s="6">
        <v>4775.0</v>
      </c>
      <c r="F187" s="6">
        <v>92.0</v>
      </c>
      <c r="G187" s="6">
        <v>1247.0</v>
      </c>
      <c r="H187" s="6">
        <v>6533.0</v>
      </c>
      <c r="I187" s="6">
        <v>2117.0</v>
      </c>
      <c r="J187" s="6">
        <v>88.66</v>
      </c>
      <c r="K187" s="6" t="s">
        <v>51</v>
      </c>
    </row>
    <row r="188">
      <c r="A188" s="6" t="s">
        <v>15</v>
      </c>
      <c r="B188" s="6" t="s">
        <v>15</v>
      </c>
      <c r="C188" s="6">
        <v>25.0</v>
      </c>
      <c r="D188" s="6">
        <v>6238.0</v>
      </c>
      <c r="E188" s="6">
        <v>1990.0</v>
      </c>
      <c r="F188" s="6">
        <v>1957.0</v>
      </c>
      <c r="G188" s="6">
        <v>265.0</v>
      </c>
      <c r="H188" s="6">
        <v>2878.0</v>
      </c>
      <c r="I188" s="6">
        <v>12601.0</v>
      </c>
      <c r="J188" s="6">
        <v>77.37</v>
      </c>
      <c r="K188" s="6" t="s">
        <v>51</v>
      </c>
    </row>
    <row r="189">
      <c r="A189" s="6" t="s">
        <v>14</v>
      </c>
      <c r="B189" s="6" t="s">
        <v>14</v>
      </c>
      <c r="C189" s="6">
        <v>10.0</v>
      </c>
      <c r="D189" s="6">
        <v>14165.0</v>
      </c>
      <c r="E189" s="6">
        <v>1375.0</v>
      </c>
      <c r="F189" s="6">
        <v>1492.0</v>
      </c>
      <c r="G189" s="6">
        <v>144.0</v>
      </c>
      <c r="H189" s="6">
        <v>1705.0</v>
      </c>
      <c r="I189" s="6">
        <v>3828.0</v>
      </c>
      <c r="J189" s="6">
        <v>82.84</v>
      </c>
      <c r="K189" s="6" t="s">
        <v>50</v>
      </c>
    </row>
    <row r="190">
      <c r="A190" s="6" t="s">
        <v>14</v>
      </c>
      <c r="B190" s="6" t="s">
        <v>12</v>
      </c>
      <c r="C190" s="6">
        <v>15.0</v>
      </c>
      <c r="D190" s="6">
        <v>9727.0</v>
      </c>
      <c r="E190" s="6">
        <v>2843.0</v>
      </c>
      <c r="F190" s="6">
        <v>537.0</v>
      </c>
      <c r="G190" s="6">
        <v>884.0</v>
      </c>
      <c r="H190" s="6">
        <v>5488.0</v>
      </c>
      <c r="I190" s="6">
        <v>15996.0</v>
      </c>
      <c r="J190" s="6">
        <v>71.16</v>
      </c>
      <c r="K190" s="6" t="s">
        <v>50</v>
      </c>
    </row>
    <row r="191">
      <c r="A191" s="6" t="s">
        <v>12</v>
      </c>
      <c r="B191" s="6" t="s">
        <v>11</v>
      </c>
      <c r="C191" s="6">
        <v>25.0</v>
      </c>
      <c r="D191" s="6">
        <v>8965.0</v>
      </c>
      <c r="E191" s="6">
        <v>2593.0</v>
      </c>
      <c r="F191" s="6">
        <v>127.0</v>
      </c>
      <c r="G191" s="6">
        <v>831.0</v>
      </c>
      <c r="H191" s="6">
        <v>6169.0</v>
      </c>
      <c r="I191" s="6">
        <v>19031.0</v>
      </c>
      <c r="J191" s="6">
        <v>117.15</v>
      </c>
      <c r="K191" s="6" t="s">
        <v>51</v>
      </c>
    </row>
    <row r="192">
      <c r="A192" s="6" t="s">
        <v>13</v>
      </c>
      <c r="B192" s="6" t="s">
        <v>15</v>
      </c>
      <c r="C192" s="6">
        <v>30.0</v>
      </c>
      <c r="D192" s="6">
        <v>10686.0</v>
      </c>
      <c r="E192" s="6">
        <v>456.0</v>
      </c>
      <c r="F192" s="6">
        <v>875.0</v>
      </c>
      <c r="G192" s="6">
        <v>97.0</v>
      </c>
      <c r="H192" s="6">
        <v>3235.0</v>
      </c>
      <c r="I192" s="6">
        <v>14878.0</v>
      </c>
      <c r="J192" s="6">
        <v>81.36</v>
      </c>
      <c r="K192" s="6" t="s">
        <v>51</v>
      </c>
    </row>
    <row r="193">
      <c r="A193" s="6" t="s">
        <v>12</v>
      </c>
      <c r="B193" s="6" t="s">
        <v>13</v>
      </c>
      <c r="C193" s="6">
        <v>25.0</v>
      </c>
      <c r="D193" s="6">
        <v>14242.0</v>
      </c>
      <c r="E193" s="6">
        <v>969.0</v>
      </c>
      <c r="F193" s="6">
        <v>1874.0</v>
      </c>
      <c r="G193" s="6">
        <v>997.0</v>
      </c>
      <c r="H193" s="6">
        <v>8990.0</v>
      </c>
      <c r="I193" s="6">
        <v>7992.0</v>
      </c>
      <c r="J193" s="6">
        <v>75.56</v>
      </c>
      <c r="K193" s="6" t="s">
        <v>50</v>
      </c>
    </row>
    <row r="194">
      <c r="A194" s="6" t="s">
        <v>15</v>
      </c>
      <c r="B194" s="6" t="s">
        <v>14</v>
      </c>
      <c r="C194" s="6">
        <v>30.0</v>
      </c>
      <c r="D194" s="6">
        <v>8701.0</v>
      </c>
      <c r="E194" s="6">
        <v>985.0</v>
      </c>
      <c r="F194" s="6">
        <v>1343.0</v>
      </c>
      <c r="G194" s="6">
        <v>1240.0</v>
      </c>
      <c r="H194" s="6">
        <v>1456.0</v>
      </c>
      <c r="I194" s="6">
        <v>14778.0</v>
      </c>
      <c r="J194" s="6">
        <v>116.83</v>
      </c>
      <c r="K194" s="6" t="s">
        <v>51</v>
      </c>
    </row>
    <row r="195">
      <c r="A195" s="6" t="s">
        <v>15</v>
      </c>
      <c r="B195" s="6" t="s">
        <v>12</v>
      </c>
      <c r="C195" s="6">
        <v>10.0</v>
      </c>
      <c r="D195" s="6">
        <v>7780.0</v>
      </c>
      <c r="E195" s="6">
        <v>2101.0</v>
      </c>
      <c r="F195" s="6">
        <v>723.0</v>
      </c>
      <c r="G195" s="6">
        <v>1162.0</v>
      </c>
      <c r="H195" s="6">
        <v>9806.0</v>
      </c>
      <c r="I195" s="6">
        <v>7771.0</v>
      </c>
      <c r="J195" s="6">
        <v>107.39</v>
      </c>
      <c r="K195" s="6" t="s">
        <v>51</v>
      </c>
    </row>
    <row r="196">
      <c r="A196" s="6" t="s">
        <v>15</v>
      </c>
      <c r="B196" s="6" t="s">
        <v>11</v>
      </c>
      <c r="C196" s="6">
        <v>10.0</v>
      </c>
      <c r="D196" s="6">
        <v>12398.0</v>
      </c>
      <c r="E196" s="6">
        <v>1383.0</v>
      </c>
      <c r="F196" s="6">
        <v>750.0</v>
      </c>
      <c r="G196" s="6">
        <v>832.0</v>
      </c>
      <c r="H196" s="6">
        <v>7123.0</v>
      </c>
      <c r="I196" s="6">
        <v>17526.0</v>
      </c>
      <c r="J196" s="6">
        <v>116.09</v>
      </c>
      <c r="K196" s="6" t="s">
        <v>50</v>
      </c>
    </row>
    <row r="197">
      <c r="A197" s="6" t="s">
        <v>12</v>
      </c>
      <c r="B197" s="6" t="s">
        <v>13</v>
      </c>
      <c r="C197" s="6">
        <v>25.0</v>
      </c>
      <c r="D197" s="6">
        <v>6588.0</v>
      </c>
      <c r="E197" s="6">
        <v>719.0</v>
      </c>
      <c r="F197" s="6">
        <v>808.0</v>
      </c>
      <c r="G197" s="6">
        <v>1036.0</v>
      </c>
      <c r="H197" s="6">
        <v>1974.0</v>
      </c>
      <c r="I197" s="6">
        <v>4435.0</v>
      </c>
      <c r="J197" s="6">
        <v>118.32</v>
      </c>
      <c r="K197" s="6" t="s">
        <v>51</v>
      </c>
    </row>
    <row r="198">
      <c r="A198" s="6" t="s">
        <v>14</v>
      </c>
      <c r="B198" s="6" t="s">
        <v>12</v>
      </c>
      <c r="C198" s="6">
        <v>20.0</v>
      </c>
      <c r="D198" s="6">
        <v>17070.0</v>
      </c>
      <c r="E198" s="6">
        <v>982.0</v>
      </c>
      <c r="F198" s="6">
        <v>1973.0</v>
      </c>
      <c r="G198" s="6">
        <v>983.0</v>
      </c>
      <c r="H198" s="6">
        <v>4960.0</v>
      </c>
      <c r="I198" s="6">
        <v>7622.0</v>
      </c>
      <c r="J198" s="6">
        <v>138.75</v>
      </c>
      <c r="K198" s="6" t="s">
        <v>50</v>
      </c>
    </row>
    <row r="199">
      <c r="A199" s="6" t="s">
        <v>14</v>
      </c>
      <c r="B199" s="6" t="s">
        <v>12</v>
      </c>
      <c r="C199" s="6">
        <v>30.0</v>
      </c>
      <c r="D199" s="6">
        <v>7368.0</v>
      </c>
      <c r="E199" s="6">
        <v>896.0</v>
      </c>
      <c r="F199" s="6">
        <v>777.0</v>
      </c>
      <c r="G199" s="6">
        <v>943.0</v>
      </c>
      <c r="H199" s="6">
        <v>7502.0</v>
      </c>
      <c r="I199" s="6">
        <v>13852.0</v>
      </c>
      <c r="J199" s="6">
        <v>96.88</v>
      </c>
      <c r="K199" s="6" t="s">
        <v>50</v>
      </c>
    </row>
    <row r="200">
      <c r="A200" s="6" t="s">
        <v>11</v>
      </c>
      <c r="B200" s="6" t="s">
        <v>13</v>
      </c>
      <c r="C200" s="6">
        <v>15.0</v>
      </c>
      <c r="D200" s="6">
        <v>10789.0</v>
      </c>
      <c r="E200" s="6">
        <v>3742.0</v>
      </c>
      <c r="F200" s="6">
        <v>1388.0</v>
      </c>
      <c r="G200" s="6">
        <v>130.0</v>
      </c>
      <c r="H200" s="6">
        <v>6896.0</v>
      </c>
      <c r="I200" s="6">
        <v>15806.0</v>
      </c>
      <c r="J200" s="6">
        <v>70.85</v>
      </c>
      <c r="K200" s="6" t="s">
        <v>50</v>
      </c>
    </row>
    <row r="201">
      <c r="A201" s="6" t="s">
        <v>15</v>
      </c>
      <c r="B201" s="6" t="s">
        <v>11</v>
      </c>
      <c r="C201" s="6">
        <v>25.0</v>
      </c>
      <c r="D201" s="6">
        <v>5436.0</v>
      </c>
      <c r="E201" s="6">
        <v>3525.0</v>
      </c>
      <c r="F201" s="6">
        <v>974.0</v>
      </c>
      <c r="G201" s="6">
        <v>1418.0</v>
      </c>
      <c r="H201" s="6">
        <v>3328.0</v>
      </c>
      <c r="I201" s="6">
        <v>11623.0</v>
      </c>
      <c r="J201" s="6">
        <v>105.42</v>
      </c>
      <c r="K201" s="6" t="s">
        <v>50</v>
      </c>
    </row>
    <row r="202">
      <c r="A202" s="6" t="s">
        <v>14</v>
      </c>
      <c r="B202" s="6" t="s">
        <v>11</v>
      </c>
      <c r="C202" s="6">
        <v>15.0</v>
      </c>
      <c r="D202" s="6">
        <v>7828.0</v>
      </c>
      <c r="E202" s="6">
        <v>1396.0</v>
      </c>
      <c r="F202" s="6">
        <v>1924.0</v>
      </c>
      <c r="G202" s="6">
        <v>1071.0</v>
      </c>
      <c r="H202" s="6">
        <v>3350.0</v>
      </c>
      <c r="I202" s="6">
        <v>2848.0</v>
      </c>
      <c r="J202" s="6">
        <v>86.62</v>
      </c>
      <c r="K202" s="6" t="s">
        <v>51</v>
      </c>
    </row>
    <row r="203">
      <c r="A203" s="6" t="s">
        <v>11</v>
      </c>
      <c r="B203" s="6" t="s">
        <v>15</v>
      </c>
      <c r="C203" s="6">
        <v>25.0</v>
      </c>
      <c r="D203" s="6">
        <v>6556.0</v>
      </c>
      <c r="E203" s="6">
        <v>4814.0</v>
      </c>
      <c r="F203" s="6">
        <v>951.0</v>
      </c>
      <c r="G203" s="6">
        <v>1374.0</v>
      </c>
      <c r="H203" s="6">
        <v>3464.0</v>
      </c>
      <c r="I203" s="6">
        <v>3696.0</v>
      </c>
      <c r="J203" s="6">
        <v>80.85</v>
      </c>
      <c r="K203" s="6" t="s">
        <v>50</v>
      </c>
    </row>
    <row r="204">
      <c r="A204" s="6" t="s">
        <v>14</v>
      </c>
      <c r="B204" s="6" t="s">
        <v>14</v>
      </c>
      <c r="C204" s="6">
        <v>20.0</v>
      </c>
      <c r="D204" s="6">
        <v>12570.0</v>
      </c>
      <c r="E204" s="6">
        <v>344.0</v>
      </c>
      <c r="F204" s="6">
        <v>938.0</v>
      </c>
      <c r="G204" s="6">
        <v>1017.0</v>
      </c>
      <c r="H204" s="6">
        <v>5094.0</v>
      </c>
      <c r="I204" s="6">
        <v>2717.0</v>
      </c>
      <c r="J204" s="6">
        <v>102.0</v>
      </c>
      <c r="K204" s="6" t="s">
        <v>51</v>
      </c>
    </row>
    <row r="205">
      <c r="A205" s="6" t="s">
        <v>15</v>
      </c>
      <c r="B205" s="6" t="s">
        <v>13</v>
      </c>
      <c r="C205" s="6">
        <v>20.0</v>
      </c>
      <c r="D205" s="6">
        <v>18364.0</v>
      </c>
      <c r="E205" s="6">
        <v>2995.0</v>
      </c>
      <c r="F205" s="6">
        <v>1042.0</v>
      </c>
      <c r="G205" s="6">
        <v>934.0</v>
      </c>
      <c r="H205" s="6">
        <v>9641.0</v>
      </c>
      <c r="I205" s="6">
        <v>10259.0</v>
      </c>
      <c r="J205" s="6">
        <v>117.32</v>
      </c>
      <c r="K205" s="6" t="s">
        <v>51</v>
      </c>
    </row>
    <row r="206">
      <c r="A206" s="6" t="s">
        <v>13</v>
      </c>
      <c r="B206" s="6" t="s">
        <v>13</v>
      </c>
      <c r="C206" s="6">
        <v>20.0</v>
      </c>
      <c r="D206" s="6">
        <v>17050.0</v>
      </c>
      <c r="E206" s="6">
        <v>1029.0</v>
      </c>
      <c r="F206" s="6">
        <v>1241.0</v>
      </c>
      <c r="G206" s="6">
        <v>654.0</v>
      </c>
      <c r="H206" s="6">
        <v>7144.0</v>
      </c>
      <c r="I206" s="6">
        <v>3786.0</v>
      </c>
      <c r="J206" s="6">
        <v>83.28</v>
      </c>
      <c r="K206" s="6" t="s">
        <v>51</v>
      </c>
    </row>
    <row r="207">
      <c r="A207" s="6" t="s">
        <v>15</v>
      </c>
      <c r="B207" s="6" t="s">
        <v>13</v>
      </c>
      <c r="C207" s="6">
        <v>20.0</v>
      </c>
      <c r="D207" s="6">
        <v>12480.0</v>
      </c>
      <c r="E207" s="6">
        <v>619.0</v>
      </c>
      <c r="F207" s="6">
        <v>388.0</v>
      </c>
      <c r="G207" s="6">
        <v>723.0</v>
      </c>
      <c r="H207" s="6">
        <v>3350.0</v>
      </c>
      <c r="I207" s="6">
        <v>15154.0</v>
      </c>
      <c r="J207" s="6">
        <v>125.49</v>
      </c>
      <c r="K207" s="6" t="s">
        <v>51</v>
      </c>
    </row>
    <row r="208">
      <c r="A208" s="6" t="s">
        <v>12</v>
      </c>
      <c r="B208" s="6" t="s">
        <v>11</v>
      </c>
      <c r="C208" s="6">
        <v>10.0</v>
      </c>
      <c r="D208" s="6">
        <v>14496.0</v>
      </c>
      <c r="E208" s="6">
        <v>3312.0</v>
      </c>
      <c r="F208" s="6">
        <v>242.0</v>
      </c>
      <c r="G208" s="6">
        <v>869.0</v>
      </c>
      <c r="H208" s="6">
        <v>665.0</v>
      </c>
      <c r="I208" s="6">
        <v>14409.0</v>
      </c>
      <c r="J208" s="6">
        <v>80.21</v>
      </c>
      <c r="K208" s="6" t="s">
        <v>51</v>
      </c>
    </row>
    <row r="209">
      <c r="A209" s="6" t="s">
        <v>14</v>
      </c>
      <c r="B209" s="6" t="s">
        <v>14</v>
      </c>
      <c r="C209" s="6">
        <v>10.0</v>
      </c>
      <c r="D209" s="6">
        <v>19366.0</v>
      </c>
      <c r="E209" s="6">
        <v>2509.0</v>
      </c>
      <c r="F209" s="6">
        <v>1526.0</v>
      </c>
      <c r="G209" s="6">
        <v>30.0</v>
      </c>
      <c r="H209" s="6">
        <v>1419.0</v>
      </c>
      <c r="I209" s="6">
        <v>4791.0</v>
      </c>
      <c r="J209" s="6">
        <v>95.12</v>
      </c>
      <c r="K209" s="6" t="s">
        <v>50</v>
      </c>
    </row>
    <row r="210">
      <c r="A210" s="6" t="s">
        <v>14</v>
      </c>
      <c r="B210" s="6" t="s">
        <v>15</v>
      </c>
      <c r="C210" s="6">
        <v>30.0</v>
      </c>
      <c r="D210" s="6">
        <v>15576.0</v>
      </c>
      <c r="E210" s="6">
        <v>107.0</v>
      </c>
      <c r="F210" s="6">
        <v>332.0</v>
      </c>
      <c r="G210" s="6">
        <v>251.0</v>
      </c>
      <c r="H210" s="6">
        <v>8805.0</v>
      </c>
      <c r="I210" s="6">
        <v>4871.0</v>
      </c>
      <c r="J210" s="6">
        <v>107.73</v>
      </c>
      <c r="K210" s="6" t="s">
        <v>50</v>
      </c>
    </row>
    <row r="211">
      <c r="A211" s="6" t="s">
        <v>12</v>
      </c>
      <c r="B211" s="6" t="s">
        <v>12</v>
      </c>
      <c r="C211" s="6">
        <v>15.0</v>
      </c>
      <c r="D211" s="6">
        <v>5182.0</v>
      </c>
      <c r="E211" s="6">
        <v>2625.0</v>
      </c>
      <c r="F211" s="6">
        <v>1409.0</v>
      </c>
      <c r="G211" s="6">
        <v>464.0</v>
      </c>
      <c r="H211" s="6">
        <v>4004.0</v>
      </c>
      <c r="I211" s="6">
        <v>2806.0</v>
      </c>
      <c r="J211" s="6">
        <v>92.24</v>
      </c>
      <c r="K211" s="6" t="s">
        <v>50</v>
      </c>
    </row>
    <row r="212">
      <c r="A212" s="6" t="s">
        <v>12</v>
      </c>
      <c r="B212" s="6" t="s">
        <v>12</v>
      </c>
      <c r="C212" s="6">
        <v>25.0</v>
      </c>
      <c r="D212" s="6">
        <v>12190.0</v>
      </c>
      <c r="E212" s="6">
        <v>3523.0</v>
      </c>
      <c r="F212" s="6">
        <v>439.0</v>
      </c>
      <c r="G212" s="6">
        <v>972.0</v>
      </c>
      <c r="H212" s="6">
        <v>1491.0</v>
      </c>
      <c r="I212" s="6">
        <v>18888.0</v>
      </c>
      <c r="J212" s="6">
        <v>64.48</v>
      </c>
      <c r="K212" s="6" t="s">
        <v>50</v>
      </c>
    </row>
    <row r="213">
      <c r="A213" s="6" t="s">
        <v>13</v>
      </c>
      <c r="B213" s="6" t="s">
        <v>13</v>
      </c>
      <c r="C213" s="6">
        <v>25.0</v>
      </c>
      <c r="D213" s="6">
        <v>11687.0</v>
      </c>
      <c r="E213" s="6">
        <v>2119.0</v>
      </c>
      <c r="F213" s="6">
        <v>1049.0</v>
      </c>
      <c r="G213" s="6">
        <v>630.0</v>
      </c>
      <c r="H213" s="6">
        <v>6547.0</v>
      </c>
      <c r="I213" s="6">
        <v>14304.0</v>
      </c>
      <c r="J213" s="6">
        <v>118.55</v>
      </c>
      <c r="K213" s="6" t="s">
        <v>51</v>
      </c>
    </row>
    <row r="214">
      <c r="A214" s="6" t="s">
        <v>14</v>
      </c>
      <c r="B214" s="6" t="s">
        <v>14</v>
      </c>
      <c r="C214" s="6">
        <v>10.0</v>
      </c>
      <c r="D214" s="6">
        <v>10565.0</v>
      </c>
      <c r="E214" s="6">
        <v>4690.0</v>
      </c>
      <c r="F214" s="6">
        <v>574.0</v>
      </c>
      <c r="G214" s="6">
        <v>312.0</v>
      </c>
      <c r="H214" s="6">
        <v>4339.0</v>
      </c>
      <c r="I214" s="6">
        <v>19074.0</v>
      </c>
      <c r="J214" s="6">
        <v>87.53</v>
      </c>
      <c r="K214" s="6" t="s">
        <v>50</v>
      </c>
    </row>
    <row r="215">
      <c r="A215" s="6" t="s">
        <v>14</v>
      </c>
      <c r="B215" s="6" t="s">
        <v>11</v>
      </c>
      <c r="C215" s="6">
        <v>25.0</v>
      </c>
      <c r="D215" s="6">
        <v>12241.0</v>
      </c>
      <c r="E215" s="6">
        <v>4382.0</v>
      </c>
      <c r="F215" s="6">
        <v>1313.0</v>
      </c>
      <c r="G215" s="6">
        <v>812.0</v>
      </c>
      <c r="H215" s="6">
        <v>1758.0</v>
      </c>
      <c r="I215" s="6">
        <v>16549.0</v>
      </c>
      <c r="J215" s="6">
        <v>114.9</v>
      </c>
      <c r="K215" s="6" t="s">
        <v>51</v>
      </c>
    </row>
    <row r="216">
      <c r="A216" s="6" t="s">
        <v>13</v>
      </c>
      <c r="B216" s="6" t="s">
        <v>14</v>
      </c>
      <c r="C216" s="6">
        <v>10.0</v>
      </c>
      <c r="D216" s="6">
        <v>12651.0</v>
      </c>
      <c r="E216" s="6">
        <v>3767.0</v>
      </c>
      <c r="F216" s="6">
        <v>1905.0</v>
      </c>
      <c r="G216" s="6">
        <v>973.0</v>
      </c>
      <c r="H216" s="6">
        <v>8109.0</v>
      </c>
      <c r="I216" s="6">
        <v>4303.0</v>
      </c>
      <c r="J216" s="6">
        <v>74.72</v>
      </c>
      <c r="K216" s="6" t="s">
        <v>51</v>
      </c>
    </row>
    <row r="217">
      <c r="A217" s="6" t="s">
        <v>11</v>
      </c>
      <c r="B217" s="6" t="s">
        <v>14</v>
      </c>
      <c r="C217" s="6">
        <v>30.0</v>
      </c>
      <c r="D217" s="6">
        <v>10575.0</v>
      </c>
      <c r="E217" s="6">
        <v>3771.0</v>
      </c>
      <c r="F217" s="6">
        <v>1556.0</v>
      </c>
      <c r="G217" s="6">
        <v>78.0</v>
      </c>
      <c r="H217" s="6">
        <v>9206.0</v>
      </c>
      <c r="I217" s="6">
        <v>17061.0</v>
      </c>
      <c r="J217" s="6">
        <v>78.13</v>
      </c>
      <c r="K217" s="6" t="s">
        <v>50</v>
      </c>
    </row>
    <row r="218">
      <c r="A218" s="6" t="s">
        <v>13</v>
      </c>
      <c r="B218" s="6" t="s">
        <v>11</v>
      </c>
      <c r="C218" s="6">
        <v>15.0</v>
      </c>
      <c r="D218" s="6">
        <v>6589.0</v>
      </c>
      <c r="E218" s="6">
        <v>2901.0</v>
      </c>
      <c r="F218" s="6">
        <v>708.0</v>
      </c>
      <c r="G218" s="6">
        <v>1162.0</v>
      </c>
      <c r="H218" s="6">
        <v>5304.0</v>
      </c>
      <c r="I218" s="6">
        <v>16198.0</v>
      </c>
      <c r="J218" s="6">
        <v>117.25</v>
      </c>
      <c r="K218" s="6" t="s">
        <v>50</v>
      </c>
    </row>
    <row r="219">
      <c r="A219" s="6" t="s">
        <v>15</v>
      </c>
      <c r="B219" s="6" t="s">
        <v>13</v>
      </c>
      <c r="C219" s="6">
        <v>30.0</v>
      </c>
      <c r="D219" s="6">
        <v>14779.0</v>
      </c>
      <c r="E219" s="6">
        <v>185.0</v>
      </c>
      <c r="F219" s="6">
        <v>765.0</v>
      </c>
      <c r="G219" s="6">
        <v>205.0</v>
      </c>
      <c r="H219" s="6">
        <v>567.0</v>
      </c>
      <c r="I219" s="6">
        <v>18888.0</v>
      </c>
      <c r="J219" s="6">
        <v>106.81</v>
      </c>
      <c r="K219" s="6" t="s">
        <v>50</v>
      </c>
    </row>
    <row r="220">
      <c r="A220" s="6" t="s">
        <v>14</v>
      </c>
      <c r="B220" s="6" t="s">
        <v>14</v>
      </c>
      <c r="C220" s="6">
        <v>20.0</v>
      </c>
      <c r="D220" s="6">
        <v>13851.0</v>
      </c>
      <c r="E220" s="6">
        <v>3215.0</v>
      </c>
      <c r="F220" s="6">
        <v>1665.0</v>
      </c>
      <c r="G220" s="6">
        <v>149.0</v>
      </c>
      <c r="H220" s="6">
        <v>6160.0</v>
      </c>
      <c r="I220" s="6">
        <v>11655.0</v>
      </c>
      <c r="J220" s="6">
        <v>91.23</v>
      </c>
      <c r="K220" s="6" t="s">
        <v>50</v>
      </c>
    </row>
    <row r="221">
      <c r="A221" s="6" t="s">
        <v>12</v>
      </c>
      <c r="B221" s="6" t="s">
        <v>12</v>
      </c>
      <c r="C221" s="6">
        <v>20.0</v>
      </c>
      <c r="D221" s="6">
        <v>5159.0</v>
      </c>
      <c r="E221" s="6">
        <v>4332.0</v>
      </c>
      <c r="F221" s="6">
        <v>940.0</v>
      </c>
      <c r="G221" s="6">
        <v>1477.0</v>
      </c>
      <c r="H221" s="6">
        <v>4978.0</v>
      </c>
      <c r="I221" s="6">
        <v>9924.0</v>
      </c>
      <c r="J221" s="6">
        <v>107.1</v>
      </c>
      <c r="K221" s="6" t="s">
        <v>51</v>
      </c>
    </row>
    <row r="222">
      <c r="A222" s="6" t="s">
        <v>15</v>
      </c>
      <c r="B222" s="6" t="s">
        <v>11</v>
      </c>
      <c r="C222" s="6">
        <v>20.0</v>
      </c>
      <c r="D222" s="6">
        <v>17145.0</v>
      </c>
      <c r="E222" s="6">
        <v>2568.0</v>
      </c>
      <c r="F222" s="6">
        <v>1628.0</v>
      </c>
      <c r="G222" s="6">
        <v>292.0</v>
      </c>
      <c r="H222" s="6">
        <v>8710.0</v>
      </c>
      <c r="I222" s="6">
        <v>10940.0</v>
      </c>
      <c r="J222" s="6">
        <v>80.92</v>
      </c>
      <c r="K222" s="6" t="s">
        <v>51</v>
      </c>
    </row>
    <row r="223">
      <c r="A223" s="6" t="s">
        <v>14</v>
      </c>
      <c r="B223" s="6" t="s">
        <v>15</v>
      </c>
      <c r="C223" s="6">
        <v>30.0</v>
      </c>
      <c r="D223" s="6">
        <v>11555.0</v>
      </c>
      <c r="E223" s="6">
        <v>3719.0</v>
      </c>
      <c r="F223" s="6">
        <v>1531.0</v>
      </c>
      <c r="G223" s="6">
        <v>321.0</v>
      </c>
      <c r="H223" s="6">
        <v>4021.0</v>
      </c>
      <c r="I223" s="6">
        <v>4924.0</v>
      </c>
      <c r="J223" s="6">
        <v>102.21</v>
      </c>
      <c r="K223" s="6" t="s">
        <v>50</v>
      </c>
    </row>
    <row r="224">
      <c r="A224" s="6" t="s">
        <v>13</v>
      </c>
      <c r="B224" s="6" t="s">
        <v>13</v>
      </c>
      <c r="C224" s="6">
        <v>25.0</v>
      </c>
      <c r="D224" s="6">
        <v>14203.0</v>
      </c>
      <c r="E224" s="6">
        <v>1736.0</v>
      </c>
      <c r="F224" s="6">
        <v>1162.0</v>
      </c>
      <c r="G224" s="6">
        <v>755.0</v>
      </c>
      <c r="H224" s="6">
        <v>1072.0</v>
      </c>
      <c r="I224" s="6">
        <v>10783.0</v>
      </c>
      <c r="J224" s="6">
        <v>102.57</v>
      </c>
      <c r="K224" s="6" t="s">
        <v>51</v>
      </c>
    </row>
    <row r="225">
      <c r="A225" s="6" t="s">
        <v>15</v>
      </c>
      <c r="B225" s="6" t="s">
        <v>11</v>
      </c>
      <c r="C225" s="6">
        <v>15.0</v>
      </c>
      <c r="D225" s="6">
        <v>13244.0</v>
      </c>
      <c r="E225" s="6">
        <v>3683.0</v>
      </c>
      <c r="F225" s="6">
        <v>1733.0</v>
      </c>
      <c r="G225" s="6">
        <v>286.0</v>
      </c>
      <c r="H225" s="6">
        <v>7582.0</v>
      </c>
      <c r="I225" s="6">
        <v>5485.0</v>
      </c>
      <c r="J225" s="6">
        <v>92.52</v>
      </c>
      <c r="K225" s="6" t="s">
        <v>51</v>
      </c>
    </row>
    <row r="226">
      <c r="A226" s="6" t="s">
        <v>14</v>
      </c>
      <c r="B226" s="6" t="s">
        <v>15</v>
      </c>
      <c r="C226" s="6">
        <v>20.0</v>
      </c>
      <c r="D226" s="6">
        <v>19743.0</v>
      </c>
      <c r="E226" s="6">
        <v>4109.0</v>
      </c>
      <c r="F226" s="6">
        <v>1168.0</v>
      </c>
      <c r="G226" s="6">
        <v>70.0</v>
      </c>
      <c r="H226" s="6">
        <v>8332.0</v>
      </c>
      <c r="I226" s="6">
        <v>13629.0</v>
      </c>
      <c r="J226" s="6">
        <v>83.29</v>
      </c>
      <c r="K226" s="6" t="s">
        <v>51</v>
      </c>
    </row>
    <row r="227">
      <c r="A227" s="6" t="s">
        <v>11</v>
      </c>
      <c r="B227" s="6" t="s">
        <v>15</v>
      </c>
      <c r="C227" s="6">
        <v>20.0</v>
      </c>
      <c r="D227" s="6">
        <v>18333.0</v>
      </c>
      <c r="E227" s="6">
        <v>3426.0</v>
      </c>
      <c r="F227" s="6">
        <v>501.0</v>
      </c>
      <c r="G227" s="6">
        <v>1352.0</v>
      </c>
      <c r="H227" s="6">
        <v>5895.0</v>
      </c>
      <c r="I227" s="6">
        <v>14233.0</v>
      </c>
      <c r="J227" s="6">
        <v>101.4</v>
      </c>
      <c r="K227" s="6" t="s">
        <v>50</v>
      </c>
    </row>
    <row r="228">
      <c r="A228" s="6" t="s">
        <v>11</v>
      </c>
      <c r="B228" s="6" t="s">
        <v>14</v>
      </c>
      <c r="C228" s="6">
        <v>20.0</v>
      </c>
      <c r="D228" s="6">
        <v>18341.0</v>
      </c>
      <c r="E228" s="6">
        <v>2318.0</v>
      </c>
      <c r="F228" s="6">
        <v>477.0</v>
      </c>
      <c r="G228" s="6">
        <v>61.0</v>
      </c>
      <c r="H228" s="6">
        <v>2758.0</v>
      </c>
      <c r="I228" s="6">
        <v>13901.0</v>
      </c>
      <c r="J228" s="6">
        <v>98.9</v>
      </c>
      <c r="K228" s="6" t="s">
        <v>51</v>
      </c>
    </row>
    <row r="229">
      <c r="A229" s="6" t="s">
        <v>12</v>
      </c>
      <c r="B229" s="6" t="s">
        <v>14</v>
      </c>
      <c r="C229" s="6">
        <v>15.0</v>
      </c>
      <c r="D229" s="6">
        <v>11846.0</v>
      </c>
      <c r="E229" s="6">
        <v>2317.0</v>
      </c>
      <c r="F229" s="6">
        <v>1224.0</v>
      </c>
      <c r="G229" s="6">
        <v>162.0</v>
      </c>
      <c r="H229" s="6">
        <v>6539.0</v>
      </c>
      <c r="I229" s="6">
        <v>1191.0</v>
      </c>
      <c r="J229" s="6">
        <v>90.68</v>
      </c>
      <c r="K229" s="6" t="s">
        <v>50</v>
      </c>
    </row>
    <row r="230">
      <c r="A230" s="6" t="s">
        <v>14</v>
      </c>
      <c r="B230" s="6" t="s">
        <v>14</v>
      </c>
      <c r="C230" s="6">
        <v>20.0</v>
      </c>
      <c r="D230" s="6">
        <v>7307.0</v>
      </c>
      <c r="E230" s="6">
        <v>2469.0</v>
      </c>
      <c r="F230" s="6">
        <v>1587.0</v>
      </c>
      <c r="G230" s="6">
        <v>1344.0</v>
      </c>
      <c r="H230" s="6">
        <v>1150.0</v>
      </c>
      <c r="I230" s="6">
        <v>5917.0</v>
      </c>
      <c r="J230" s="6">
        <v>79.32</v>
      </c>
      <c r="K230" s="6" t="s">
        <v>50</v>
      </c>
    </row>
    <row r="231">
      <c r="A231" s="6" t="s">
        <v>11</v>
      </c>
      <c r="B231" s="6" t="s">
        <v>11</v>
      </c>
      <c r="C231" s="6">
        <v>15.0</v>
      </c>
      <c r="D231" s="6">
        <v>6228.0</v>
      </c>
      <c r="E231" s="6">
        <v>3738.0</v>
      </c>
      <c r="F231" s="6">
        <v>1449.0</v>
      </c>
      <c r="G231" s="6">
        <v>553.0</v>
      </c>
      <c r="H231" s="6">
        <v>6241.0</v>
      </c>
      <c r="I231" s="6">
        <v>6831.0</v>
      </c>
      <c r="J231" s="6">
        <v>100.25</v>
      </c>
      <c r="K231" s="6" t="s">
        <v>51</v>
      </c>
    </row>
    <row r="232">
      <c r="A232" s="6" t="s">
        <v>13</v>
      </c>
      <c r="B232" s="6" t="s">
        <v>11</v>
      </c>
      <c r="C232" s="6">
        <v>20.0</v>
      </c>
      <c r="D232" s="6">
        <v>12226.0</v>
      </c>
      <c r="E232" s="6">
        <v>2603.0</v>
      </c>
      <c r="F232" s="6">
        <v>1095.0</v>
      </c>
      <c r="G232" s="6">
        <v>576.0</v>
      </c>
      <c r="H232" s="6">
        <v>7338.0</v>
      </c>
      <c r="I232" s="6">
        <v>11160.0</v>
      </c>
      <c r="J232" s="6">
        <v>90.73</v>
      </c>
      <c r="K232" s="6" t="s">
        <v>51</v>
      </c>
    </row>
    <row r="233">
      <c r="A233" s="6" t="s">
        <v>14</v>
      </c>
      <c r="B233" s="6" t="s">
        <v>13</v>
      </c>
      <c r="C233" s="6">
        <v>30.0</v>
      </c>
      <c r="D233" s="6">
        <v>10590.0</v>
      </c>
      <c r="E233" s="6">
        <v>1043.0</v>
      </c>
      <c r="F233" s="6">
        <v>932.0</v>
      </c>
      <c r="G233" s="6">
        <v>1422.0</v>
      </c>
      <c r="H233" s="6">
        <v>3087.0</v>
      </c>
      <c r="I233" s="6">
        <v>14682.0</v>
      </c>
      <c r="J233" s="6">
        <v>79.31</v>
      </c>
      <c r="K233" s="6" t="s">
        <v>50</v>
      </c>
    </row>
    <row r="234">
      <c r="A234" s="6" t="s">
        <v>13</v>
      </c>
      <c r="B234" s="6" t="s">
        <v>14</v>
      </c>
      <c r="C234" s="6">
        <v>30.0</v>
      </c>
      <c r="D234" s="6">
        <v>11919.0</v>
      </c>
      <c r="E234" s="6">
        <v>2937.0</v>
      </c>
      <c r="F234" s="6">
        <v>362.0</v>
      </c>
      <c r="G234" s="6">
        <v>631.0</v>
      </c>
      <c r="H234" s="6">
        <v>8376.0</v>
      </c>
      <c r="I234" s="6">
        <v>13391.0</v>
      </c>
      <c r="J234" s="6">
        <v>100.87</v>
      </c>
      <c r="K234" s="6" t="s">
        <v>51</v>
      </c>
    </row>
    <row r="235">
      <c r="A235" s="6" t="s">
        <v>13</v>
      </c>
      <c r="B235" s="6" t="s">
        <v>15</v>
      </c>
      <c r="C235" s="6">
        <v>15.0</v>
      </c>
      <c r="D235" s="6">
        <v>10585.0</v>
      </c>
      <c r="E235" s="6">
        <v>2760.0</v>
      </c>
      <c r="F235" s="6">
        <v>889.0</v>
      </c>
      <c r="G235" s="6">
        <v>1210.0</v>
      </c>
      <c r="H235" s="6">
        <v>3762.0</v>
      </c>
      <c r="I235" s="6">
        <v>2874.0</v>
      </c>
      <c r="J235" s="6">
        <v>132.17</v>
      </c>
      <c r="K235" s="6" t="s">
        <v>51</v>
      </c>
    </row>
    <row r="236">
      <c r="A236" s="6" t="s">
        <v>11</v>
      </c>
      <c r="B236" s="6" t="s">
        <v>12</v>
      </c>
      <c r="C236" s="6">
        <v>30.0</v>
      </c>
      <c r="D236" s="6">
        <v>14227.0</v>
      </c>
      <c r="E236" s="6">
        <v>3036.0</v>
      </c>
      <c r="F236" s="6">
        <v>568.0</v>
      </c>
      <c r="G236" s="6">
        <v>1395.0</v>
      </c>
      <c r="H236" s="6">
        <v>1838.0</v>
      </c>
      <c r="I236" s="6">
        <v>10062.0</v>
      </c>
      <c r="J236" s="6">
        <v>92.66</v>
      </c>
      <c r="K236" s="6" t="s">
        <v>50</v>
      </c>
    </row>
    <row r="237">
      <c r="A237" s="6" t="s">
        <v>14</v>
      </c>
      <c r="B237" s="6" t="s">
        <v>13</v>
      </c>
      <c r="C237" s="6">
        <v>15.0</v>
      </c>
      <c r="D237" s="6">
        <v>16894.0</v>
      </c>
      <c r="E237" s="6">
        <v>4544.0</v>
      </c>
      <c r="F237" s="6">
        <v>1279.0</v>
      </c>
      <c r="G237" s="6">
        <v>323.0</v>
      </c>
      <c r="H237" s="6">
        <v>5496.0</v>
      </c>
      <c r="I237" s="6">
        <v>5763.0</v>
      </c>
      <c r="J237" s="6">
        <v>129.96</v>
      </c>
      <c r="K237" s="6" t="s">
        <v>50</v>
      </c>
    </row>
    <row r="238">
      <c r="A238" s="6" t="s">
        <v>15</v>
      </c>
      <c r="B238" s="6" t="s">
        <v>11</v>
      </c>
      <c r="C238" s="6">
        <v>30.0</v>
      </c>
      <c r="D238" s="6">
        <v>11046.0</v>
      </c>
      <c r="E238" s="6">
        <v>4047.0</v>
      </c>
      <c r="F238" s="6">
        <v>424.0</v>
      </c>
      <c r="G238" s="6">
        <v>816.0</v>
      </c>
      <c r="H238" s="6">
        <v>6280.0</v>
      </c>
      <c r="I238" s="6">
        <v>11234.0</v>
      </c>
      <c r="J238" s="6">
        <v>142.29</v>
      </c>
      <c r="K238" s="6" t="s">
        <v>50</v>
      </c>
    </row>
    <row r="239">
      <c r="A239" s="6" t="s">
        <v>11</v>
      </c>
      <c r="B239" s="6" t="s">
        <v>13</v>
      </c>
      <c r="C239" s="6">
        <v>30.0</v>
      </c>
      <c r="D239" s="6">
        <v>17237.0</v>
      </c>
      <c r="E239" s="6">
        <v>1776.0</v>
      </c>
      <c r="F239" s="6">
        <v>500.0</v>
      </c>
      <c r="G239" s="6">
        <v>857.0</v>
      </c>
      <c r="H239" s="6">
        <v>3327.0</v>
      </c>
      <c r="I239" s="6">
        <v>10221.0</v>
      </c>
      <c r="J239" s="6">
        <v>80.93</v>
      </c>
      <c r="K239" s="6" t="s">
        <v>50</v>
      </c>
    </row>
    <row r="240">
      <c r="A240" s="6" t="s">
        <v>11</v>
      </c>
      <c r="B240" s="6" t="s">
        <v>13</v>
      </c>
      <c r="C240" s="6">
        <v>15.0</v>
      </c>
      <c r="D240" s="6">
        <v>9945.0</v>
      </c>
      <c r="E240" s="6">
        <v>1296.0</v>
      </c>
      <c r="F240" s="6">
        <v>1699.0</v>
      </c>
      <c r="G240" s="6">
        <v>106.0</v>
      </c>
      <c r="H240" s="6">
        <v>5732.0</v>
      </c>
      <c r="I240" s="6">
        <v>12410.0</v>
      </c>
      <c r="J240" s="6">
        <v>100.18</v>
      </c>
      <c r="K240" s="6" t="s">
        <v>51</v>
      </c>
    </row>
    <row r="241">
      <c r="A241" s="6" t="s">
        <v>14</v>
      </c>
      <c r="B241" s="6" t="s">
        <v>13</v>
      </c>
      <c r="C241" s="6">
        <v>25.0</v>
      </c>
      <c r="D241" s="6">
        <v>12927.0</v>
      </c>
      <c r="E241" s="6">
        <v>4205.0</v>
      </c>
      <c r="F241" s="6">
        <v>1857.0</v>
      </c>
      <c r="G241" s="6">
        <v>890.0</v>
      </c>
      <c r="H241" s="6">
        <v>2717.0</v>
      </c>
      <c r="I241" s="6">
        <v>15519.0</v>
      </c>
      <c r="J241" s="6">
        <v>142.07</v>
      </c>
      <c r="K241" s="6" t="s">
        <v>51</v>
      </c>
    </row>
    <row r="242">
      <c r="A242" s="6" t="s">
        <v>14</v>
      </c>
      <c r="B242" s="6" t="s">
        <v>13</v>
      </c>
      <c r="C242" s="6">
        <v>30.0</v>
      </c>
      <c r="D242" s="6">
        <v>17641.0</v>
      </c>
      <c r="E242" s="6">
        <v>2887.0</v>
      </c>
      <c r="F242" s="6">
        <v>1064.0</v>
      </c>
      <c r="G242" s="6">
        <v>1246.0</v>
      </c>
      <c r="H242" s="6">
        <v>4039.0</v>
      </c>
      <c r="I242" s="6">
        <v>2051.0</v>
      </c>
      <c r="J242" s="6">
        <v>97.58</v>
      </c>
      <c r="K242" s="6" t="s">
        <v>50</v>
      </c>
    </row>
    <row r="243">
      <c r="A243" s="6" t="s">
        <v>13</v>
      </c>
      <c r="B243" s="6" t="s">
        <v>12</v>
      </c>
      <c r="C243" s="6">
        <v>20.0</v>
      </c>
      <c r="D243" s="6">
        <v>18386.0</v>
      </c>
      <c r="E243" s="6">
        <v>1561.0</v>
      </c>
      <c r="F243" s="6">
        <v>644.0</v>
      </c>
      <c r="G243" s="6">
        <v>838.0</v>
      </c>
      <c r="H243" s="6">
        <v>8345.0</v>
      </c>
      <c r="I243" s="6">
        <v>13225.0</v>
      </c>
      <c r="J243" s="6">
        <v>100.74</v>
      </c>
      <c r="K243" s="6" t="s">
        <v>50</v>
      </c>
    </row>
    <row r="244">
      <c r="A244" s="6" t="s">
        <v>14</v>
      </c>
      <c r="B244" s="6" t="s">
        <v>14</v>
      </c>
      <c r="C244" s="6">
        <v>25.0</v>
      </c>
      <c r="D244" s="6">
        <v>12016.0</v>
      </c>
      <c r="E244" s="6">
        <v>3418.0</v>
      </c>
      <c r="F244" s="6">
        <v>1252.0</v>
      </c>
      <c r="G244" s="6">
        <v>146.0</v>
      </c>
      <c r="H244" s="6">
        <v>9729.0</v>
      </c>
      <c r="I244" s="6">
        <v>10765.0</v>
      </c>
      <c r="J244" s="6">
        <v>66.6</v>
      </c>
      <c r="K244" s="6" t="s">
        <v>50</v>
      </c>
    </row>
    <row r="245">
      <c r="A245" s="6" t="s">
        <v>13</v>
      </c>
      <c r="B245" s="6" t="s">
        <v>15</v>
      </c>
      <c r="C245" s="6">
        <v>15.0</v>
      </c>
      <c r="D245" s="6">
        <v>19027.0</v>
      </c>
      <c r="E245" s="6">
        <v>766.0</v>
      </c>
      <c r="F245" s="6">
        <v>1283.0</v>
      </c>
      <c r="G245" s="6">
        <v>1039.0</v>
      </c>
      <c r="H245" s="6">
        <v>4883.0</v>
      </c>
      <c r="I245" s="6">
        <v>12382.0</v>
      </c>
      <c r="J245" s="6">
        <v>89.37</v>
      </c>
      <c r="K245" s="6" t="s">
        <v>51</v>
      </c>
    </row>
    <row r="246">
      <c r="A246" s="6" t="s">
        <v>11</v>
      </c>
      <c r="B246" s="6" t="s">
        <v>13</v>
      </c>
      <c r="C246" s="6">
        <v>25.0</v>
      </c>
      <c r="D246" s="6">
        <v>12758.0</v>
      </c>
      <c r="E246" s="6">
        <v>2276.0</v>
      </c>
      <c r="F246" s="6">
        <v>549.0</v>
      </c>
      <c r="G246" s="6">
        <v>1020.0</v>
      </c>
      <c r="H246" s="6">
        <v>3461.0</v>
      </c>
      <c r="I246" s="6">
        <v>13580.0</v>
      </c>
      <c r="J246" s="6">
        <v>111.11</v>
      </c>
      <c r="K246" s="6" t="s">
        <v>50</v>
      </c>
    </row>
    <row r="247">
      <c r="A247" s="6" t="s">
        <v>12</v>
      </c>
      <c r="B247" s="6" t="s">
        <v>13</v>
      </c>
      <c r="C247" s="6">
        <v>10.0</v>
      </c>
      <c r="D247" s="6">
        <v>18752.0</v>
      </c>
      <c r="E247" s="6">
        <v>3843.0</v>
      </c>
      <c r="F247" s="6">
        <v>513.0</v>
      </c>
      <c r="G247" s="6">
        <v>118.0</v>
      </c>
      <c r="H247" s="6">
        <v>3726.0</v>
      </c>
      <c r="I247" s="6">
        <v>12989.0</v>
      </c>
      <c r="J247" s="6">
        <v>148.59</v>
      </c>
      <c r="K247" s="6" t="s">
        <v>51</v>
      </c>
    </row>
    <row r="248">
      <c r="A248" s="6" t="s">
        <v>15</v>
      </c>
      <c r="B248" s="6" t="s">
        <v>13</v>
      </c>
      <c r="C248" s="6">
        <v>10.0</v>
      </c>
      <c r="D248" s="6">
        <v>10086.0</v>
      </c>
      <c r="E248" s="6">
        <v>700.0</v>
      </c>
      <c r="F248" s="6">
        <v>1913.0</v>
      </c>
      <c r="G248" s="6">
        <v>556.0</v>
      </c>
      <c r="H248" s="6">
        <v>7337.0</v>
      </c>
      <c r="I248" s="6">
        <v>12939.0</v>
      </c>
      <c r="J248" s="6">
        <v>96.08</v>
      </c>
      <c r="K248" s="6" t="s">
        <v>50</v>
      </c>
    </row>
    <row r="249">
      <c r="A249" s="6" t="s">
        <v>11</v>
      </c>
      <c r="B249" s="6" t="s">
        <v>14</v>
      </c>
      <c r="C249" s="6">
        <v>30.0</v>
      </c>
      <c r="D249" s="6">
        <v>14456.0</v>
      </c>
      <c r="E249" s="6">
        <v>2752.0</v>
      </c>
      <c r="F249" s="6">
        <v>1197.0</v>
      </c>
      <c r="G249" s="6">
        <v>1072.0</v>
      </c>
      <c r="H249" s="6">
        <v>7531.0</v>
      </c>
      <c r="I249" s="6">
        <v>19489.0</v>
      </c>
      <c r="J249" s="6">
        <v>66.75</v>
      </c>
      <c r="K249" s="6" t="s">
        <v>50</v>
      </c>
    </row>
    <row r="250">
      <c r="A250" s="6" t="s">
        <v>14</v>
      </c>
      <c r="B250" s="6" t="s">
        <v>11</v>
      </c>
      <c r="C250" s="6">
        <v>30.0</v>
      </c>
      <c r="D250" s="6">
        <v>12161.0</v>
      </c>
      <c r="E250" s="6">
        <v>4522.0</v>
      </c>
      <c r="F250" s="6">
        <v>162.0</v>
      </c>
      <c r="G250" s="6">
        <v>671.0</v>
      </c>
      <c r="H250" s="6">
        <v>9790.0</v>
      </c>
      <c r="I250" s="6">
        <v>1307.0</v>
      </c>
      <c r="J250" s="6">
        <v>71.9</v>
      </c>
      <c r="K250" s="6" t="s">
        <v>50</v>
      </c>
    </row>
    <row r="251">
      <c r="A251" s="6" t="s">
        <v>15</v>
      </c>
      <c r="B251" s="6" t="s">
        <v>11</v>
      </c>
      <c r="C251" s="6">
        <v>20.0</v>
      </c>
      <c r="D251" s="6">
        <v>6884.0</v>
      </c>
      <c r="E251" s="6">
        <v>3924.0</v>
      </c>
      <c r="F251" s="6">
        <v>1085.0</v>
      </c>
      <c r="G251" s="6">
        <v>434.0</v>
      </c>
      <c r="H251" s="6">
        <v>9631.0</v>
      </c>
      <c r="I251" s="6">
        <v>4359.0</v>
      </c>
      <c r="J251" s="6">
        <v>99.28</v>
      </c>
      <c r="K251" s="6" t="s">
        <v>51</v>
      </c>
    </row>
    <row r="252">
      <c r="A252" s="6" t="s">
        <v>12</v>
      </c>
      <c r="B252" s="6" t="s">
        <v>12</v>
      </c>
      <c r="C252" s="6">
        <v>25.0</v>
      </c>
      <c r="D252" s="6">
        <v>6809.0</v>
      </c>
      <c r="E252" s="6">
        <v>4006.0</v>
      </c>
      <c r="F252" s="6">
        <v>1199.0</v>
      </c>
      <c r="G252" s="6">
        <v>639.0</v>
      </c>
      <c r="H252" s="6">
        <v>4216.0</v>
      </c>
      <c r="I252" s="6">
        <v>4176.0</v>
      </c>
      <c r="J252" s="6">
        <v>123.54</v>
      </c>
      <c r="K252" s="6" t="s">
        <v>51</v>
      </c>
    </row>
    <row r="253">
      <c r="A253" s="6" t="s">
        <v>12</v>
      </c>
      <c r="B253" s="6" t="s">
        <v>11</v>
      </c>
      <c r="C253" s="6">
        <v>10.0</v>
      </c>
      <c r="D253" s="6">
        <v>8167.0</v>
      </c>
      <c r="E253" s="6">
        <v>1079.0</v>
      </c>
      <c r="F253" s="6">
        <v>1638.0</v>
      </c>
      <c r="G253" s="6">
        <v>270.0</v>
      </c>
      <c r="H253" s="6">
        <v>3914.0</v>
      </c>
      <c r="I253" s="6">
        <v>2251.0</v>
      </c>
      <c r="J253" s="6">
        <v>112.75</v>
      </c>
      <c r="K253" s="6" t="s">
        <v>51</v>
      </c>
    </row>
    <row r="254">
      <c r="A254" s="6" t="s">
        <v>13</v>
      </c>
      <c r="B254" s="6" t="s">
        <v>13</v>
      </c>
      <c r="C254" s="6">
        <v>30.0</v>
      </c>
      <c r="D254" s="6">
        <v>16989.0</v>
      </c>
      <c r="E254" s="6">
        <v>2551.0</v>
      </c>
      <c r="F254" s="6">
        <v>380.0</v>
      </c>
      <c r="G254" s="6">
        <v>1459.0</v>
      </c>
      <c r="H254" s="6">
        <v>1948.0</v>
      </c>
      <c r="I254" s="6">
        <v>6366.0</v>
      </c>
      <c r="J254" s="6">
        <v>109.21</v>
      </c>
      <c r="K254" s="6" t="s">
        <v>50</v>
      </c>
    </row>
    <row r="255">
      <c r="A255" s="6" t="s">
        <v>15</v>
      </c>
      <c r="B255" s="6" t="s">
        <v>13</v>
      </c>
      <c r="C255" s="6">
        <v>25.0</v>
      </c>
      <c r="D255" s="6">
        <v>15533.0</v>
      </c>
      <c r="E255" s="6">
        <v>728.0</v>
      </c>
      <c r="F255" s="6">
        <v>1974.0</v>
      </c>
      <c r="G255" s="6">
        <v>96.0</v>
      </c>
      <c r="H255" s="6">
        <v>1070.0</v>
      </c>
      <c r="I255" s="6">
        <v>18901.0</v>
      </c>
      <c r="J255" s="6">
        <v>126.18</v>
      </c>
      <c r="K255" s="6" t="s">
        <v>51</v>
      </c>
    </row>
    <row r="256">
      <c r="A256" s="6" t="s">
        <v>13</v>
      </c>
      <c r="B256" s="6" t="s">
        <v>13</v>
      </c>
      <c r="C256" s="6">
        <v>30.0</v>
      </c>
      <c r="D256" s="6">
        <v>11352.0</v>
      </c>
      <c r="E256" s="6">
        <v>1729.0</v>
      </c>
      <c r="F256" s="6">
        <v>1356.0</v>
      </c>
      <c r="G256" s="6">
        <v>474.0</v>
      </c>
      <c r="H256" s="6">
        <v>3404.0</v>
      </c>
      <c r="I256" s="6">
        <v>7226.0</v>
      </c>
      <c r="J256" s="6">
        <v>85.6</v>
      </c>
      <c r="K256" s="6" t="s">
        <v>51</v>
      </c>
    </row>
    <row r="257">
      <c r="A257" s="6" t="s">
        <v>11</v>
      </c>
      <c r="B257" s="6" t="s">
        <v>12</v>
      </c>
      <c r="C257" s="6">
        <v>30.0</v>
      </c>
      <c r="D257" s="6">
        <v>16606.0</v>
      </c>
      <c r="E257" s="6">
        <v>3796.0</v>
      </c>
      <c r="F257" s="6">
        <v>189.0</v>
      </c>
      <c r="G257" s="6">
        <v>85.0</v>
      </c>
      <c r="H257" s="6">
        <v>3005.0</v>
      </c>
      <c r="I257" s="6">
        <v>15330.0</v>
      </c>
      <c r="J257" s="6">
        <v>100.38</v>
      </c>
      <c r="K257" s="6" t="s">
        <v>50</v>
      </c>
    </row>
    <row r="258">
      <c r="A258" s="6" t="s">
        <v>15</v>
      </c>
      <c r="B258" s="6" t="s">
        <v>13</v>
      </c>
      <c r="C258" s="6">
        <v>10.0</v>
      </c>
      <c r="D258" s="6">
        <v>18399.0</v>
      </c>
      <c r="E258" s="6">
        <v>3530.0</v>
      </c>
      <c r="F258" s="6">
        <v>1474.0</v>
      </c>
      <c r="G258" s="6">
        <v>480.0</v>
      </c>
      <c r="H258" s="6">
        <v>1417.0</v>
      </c>
      <c r="I258" s="6">
        <v>5891.0</v>
      </c>
      <c r="J258" s="6">
        <v>89.59</v>
      </c>
      <c r="K258" s="6" t="s">
        <v>50</v>
      </c>
    </row>
    <row r="259">
      <c r="A259" s="6" t="s">
        <v>11</v>
      </c>
      <c r="B259" s="6" t="s">
        <v>11</v>
      </c>
      <c r="C259" s="6">
        <v>10.0</v>
      </c>
      <c r="D259" s="6">
        <v>14009.0</v>
      </c>
      <c r="E259" s="6">
        <v>3774.0</v>
      </c>
      <c r="F259" s="6">
        <v>951.0</v>
      </c>
      <c r="G259" s="6">
        <v>423.0</v>
      </c>
      <c r="H259" s="6">
        <v>7482.0</v>
      </c>
      <c r="I259" s="6">
        <v>5992.0</v>
      </c>
      <c r="J259" s="6">
        <v>94.57</v>
      </c>
      <c r="K259" s="6" t="s">
        <v>51</v>
      </c>
    </row>
    <row r="260">
      <c r="A260" s="6" t="s">
        <v>13</v>
      </c>
      <c r="B260" s="6" t="s">
        <v>14</v>
      </c>
      <c r="C260" s="6">
        <v>30.0</v>
      </c>
      <c r="D260" s="6">
        <v>19087.0</v>
      </c>
      <c r="E260" s="6">
        <v>4029.0</v>
      </c>
      <c r="F260" s="6">
        <v>1170.0</v>
      </c>
      <c r="G260" s="6">
        <v>834.0</v>
      </c>
      <c r="H260" s="6">
        <v>7927.0</v>
      </c>
      <c r="I260" s="6">
        <v>2961.0</v>
      </c>
      <c r="J260" s="6">
        <v>79.87</v>
      </c>
      <c r="K260" s="6" t="s">
        <v>51</v>
      </c>
    </row>
    <row r="261">
      <c r="A261" s="6" t="s">
        <v>15</v>
      </c>
      <c r="B261" s="6" t="s">
        <v>14</v>
      </c>
      <c r="C261" s="6">
        <v>15.0</v>
      </c>
      <c r="D261" s="6">
        <v>11056.0</v>
      </c>
      <c r="E261" s="6">
        <v>2865.0</v>
      </c>
      <c r="F261" s="6">
        <v>566.0</v>
      </c>
      <c r="G261" s="6">
        <v>904.0</v>
      </c>
      <c r="H261" s="6">
        <v>6836.0</v>
      </c>
      <c r="I261" s="6">
        <v>13497.0</v>
      </c>
      <c r="J261" s="6">
        <v>93.12</v>
      </c>
      <c r="K261" s="6" t="s">
        <v>51</v>
      </c>
    </row>
    <row r="262">
      <c r="A262" s="6" t="s">
        <v>13</v>
      </c>
      <c r="B262" s="6" t="s">
        <v>15</v>
      </c>
      <c r="C262" s="6">
        <v>30.0</v>
      </c>
      <c r="D262" s="6">
        <v>7437.0</v>
      </c>
      <c r="E262" s="6">
        <v>4469.0</v>
      </c>
      <c r="F262" s="6">
        <v>618.0</v>
      </c>
      <c r="G262" s="6">
        <v>735.0</v>
      </c>
      <c r="H262" s="6">
        <v>2178.0</v>
      </c>
      <c r="I262" s="6">
        <v>11848.0</v>
      </c>
      <c r="J262" s="6">
        <v>99.45</v>
      </c>
      <c r="K262" s="6" t="s">
        <v>51</v>
      </c>
    </row>
    <row r="263">
      <c r="A263" s="6" t="s">
        <v>15</v>
      </c>
      <c r="B263" s="6" t="s">
        <v>11</v>
      </c>
      <c r="C263" s="6">
        <v>30.0</v>
      </c>
      <c r="D263" s="6">
        <v>11468.0</v>
      </c>
      <c r="E263" s="6">
        <v>4880.0</v>
      </c>
      <c r="F263" s="6">
        <v>1997.0</v>
      </c>
      <c r="G263" s="6">
        <v>466.0</v>
      </c>
      <c r="H263" s="6">
        <v>1115.0</v>
      </c>
      <c r="I263" s="6">
        <v>14255.0</v>
      </c>
      <c r="J263" s="6">
        <v>92.57</v>
      </c>
      <c r="K263" s="6" t="s">
        <v>50</v>
      </c>
    </row>
    <row r="264">
      <c r="A264" s="6" t="s">
        <v>13</v>
      </c>
      <c r="B264" s="6" t="s">
        <v>13</v>
      </c>
      <c r="C264" s="6">
        <v>20.0</v>
      </c>
      <c r="D264" s="6">
        <v>14080.0</v>
      </c>
      <c r="E264" s="6">
        <v>215.0</v>
      </c>
      <c r="F264" s="6">
        <v>895.0</v>
      </c>
      <c r="G264" s="6">
        <v>1318.0</v>
      </c>
      <c r="H264" s="6">
        <v>7586.0</v>
      </c>
      <c r="I264" s="6">
        <v>5567.0</v>
      </c>
      <c r="J264" s="6">
        <v>96.78</v>
      </c>
      <c r="K264" s="6" t="s">
        <v>50</v>
      </c>
    </row>
    <row r="265">
      <c r="A265" s="6" t="s">
        <v>12</v>
      </c>
      <c r="B265" s="6" t="s">
        <v>14</v>
      </c>
      <c r="C265" s="6">
        <v>20.0</v>
      </c>
      <c r="D265" s="6">
        <v>10951.0</v>
      </c>
      <c r="E265" s="6">
        <v>2103.0</v>
      </c>
      <c r="F265" s="6">
        <v>1142.0</v>
      </c>
      <c r="G265" s="6">
        <v>1272.0</v>
      </c>
      <c r="H265" s="6">
        <v>5249.0</v>
      </c>
      <c r="I265" s="6">
        <v>17079.0</v>
      </c>
      <c r="J265" s="6">
        <v>108.1</v>
      </c>
      <c r="K265" s="6" t="s">
        <v>50</v>
      </c>
    </row>
    <row r="266">
      <c r="A266" s="6" t="s">
        <v>13</v>
      </c>
      <c r="B266" s="6" t="s">
        <v>11</v>
      </c>
      <c r="C266" s="6">
        <v>20.0</v>
      </c>
      <c r="D266" s="6">
        <v>10276.0</v>
      </c>
      <c r="E266" s="6">
        <v>792.0</v>
      </c>
      <c r="F266" s="6">
        <v>167.0</v>
      </c>
      <c r="G266" s="6">
        <v>662.0</v>
      </c>
      <c r="H266" s="6">
        <v>4005.0</v>
      </c>
      <c r="I266" s="6">
        <v>7513.0</v>
      </c>
      <c r="J266" s="6">
        <v>124.77</v>
      </c>
      <c r="K266" s="6" t="s">
        <v>51</v>
      </c>
    </row>
    <row r="267">
      <c r="A267" s="6" t="s">
        <v>12</v>
      </c>
      <c r="B267" s="6" t="s">
        <v>14</v>
      </c>
      <c r="C267" s="6">
        <v>15.0</v>
      </c>
      <c r="D267" s="6">
        <v>13859.0</v>
      </c>
      <c r="E267" s="6">
        <v>3262.0</v>
      </c>
      <c r="F267" s="6">
        <v>937.0</v>
      </c>
      <c r="G267" s="6">
        <v>681.0</v>
      </c>
      <c r="H267" s="6">
        <v>5029.0</v>
      </c>
      <c r="I267" s="6">
        <v>16235.0</v>
      </c>
      <c r="J267" s="6">
        <v>126.22</v>
      </c>
      <c r="K267" s="6" t="s">
        <v>51</v>
      </c>
    </row>
    <row r="268">
      <c r="A268" s="6" t="s">
        <v>13</v>
      </c>
      <c r="B268" s="6" t="s">
        <v>13</v>
      </c>
      <c r="C268" s="6">
        <v>15.0</v>
      </c>
      <c r="D268" s="6">
        <v>12818.0</v>
      </c>
      <c r="E268" s="6">
        <v>1205.0</v>
      </c>
      <c r="F268" s="6">
        <v>1132.0</v>
      </c>
      <c r="G268" s="6">
        <v>1405.0</v>
      </c>
      <c r="H268" s="6">
        <v>1635.0</v>
      </c>
      <c r="I268" s="6">
        <v>12755.0</v>
      </c>
      <c r="J268" s="6">
        <v>115.23</v>
      </c>
      <c r="K268" s="6" t="s">
        <v>50</v>
      </c>
    </row>
    <row r="269">
      <c r="A269" s="6" t="s">
        <v>15</v>
      </c>
      <c r="B269" s="6" t="s">
        <v>14</v>
      </c>
      <c r="C269" s="6">
        <v>30.0</v>
      </c>
      <c r="D269" s="6">
        <v>9728.0</v>
      </c>
      <c r="E269" s="6">
        <v>3108.0</v>
      </c>
      <c r="F269" s="6">
        <v>1106.0</v>
      </c>
      <c r="G269" s="6">
        <v>504.0</v>
      </c>
      <c r="H269" s="6">
        <v>9066.0</v>
      </c>
      <c r="I269" s="6">
        <v>12151.0</v>
      </c>
      <c r="J269" s="6">
        <v>74.8</v>
      </c>
      <c r="K269" s="6" t="s">
        <v>50</v>
      </c>
    </row>
    <row r="270">
      <c r="A270" s="6" t="s">
        <v>15</v>
      </c>
      <c r="B270" s="6" t="s">
        <v>15</v>
      </c>
      <c r="C270" s="6">
        <v>20.0</v>
      </c>
      <c r="D270" s="6">
        <v>7624.0</v>
      </c>
      <c r="E270" s="6">
        <v>2261.0</v>
      </c>
      <c r="F270" s="6">
        <v>1391.0</v>
      </c>
      <c r="G270" s="6">
        <v>1078.0</v>
      </c>
      <c r="H270" s="6">
        <v>7726.0</v>
      </c>
      <c r="I270" s="6">
        <v>17567.0</v>
      </c>
      <c r="J270" s="6">
        <v>92.79</v>
      </c>
      <c r="K270" s="6" t="s">
        <v>51</v>
      </c>
    </row>
    <row r="271">
      <c r="A271" s="6" t="s">
        <v>15</v>
      </c>
      <c r="B271" s="6" t="s">
        <v>15</v>
      </c>
      <c r="C271" s="6">
        <v>15.0</v>
      </c>
      <c r="D271" s="6">
        <v>10738.0</v>
      </c>
      <c r="E271" s="6">
        <v>253.0</v>
      </c>
      <c r="F271" s="6">
        <v>99.0</v>
      </c>
      <c r="G271" s="6">
        <v>1434.0</v>
      </c>
      <c r="H271" s="6">
        <v>5662.0</v>
      </c>
      <c r="I271" s="6">
        <v>4358.0</v>
      </c>
      <c r="J271" s="6">
        <v>94.51</v>
      </c>
      <c r="K271" s="6" t="s">
        <v>51</v>
      </c>
    </row>
    <row r="272">
      <c r="A272" s="6" t="s">
        <v>14</v>
      </c>
      <c r="B272" s="6" t="s">
        <v>14</v>
      </c>
      <c r="C272" s="6">
        <v>10.0</v>
      </c>
      <c r="D272" s="6">
        <v>9232.0</v>
      </c>
      <c r="E272" s="6">
        <v>3799.0</v>
      </c>
      <c r="F272" s="6">
        <v>1953.0</v>
      </c>
      <c r="G272" s="6">
        <v>1280.0</v>
      </c>
      <c r="H272" s="6">
        <v>706.0</v>
      </c>
      <c r="I272" s="6">
        <v>10590.0</v>
      </c>
      <c r="J272" s="6">
        <v>86.86</v>
      </c>
      <c r="K272" s="6" t="s">
        <v>50</v>
      </c>
    </row>
    <row r="273">
      <c r="A273" s="6" t="s">
        <v>11</v>
      </c>
      <c r="B273" s="6" t="s">
        <v>11</v>
      </c>
      <c r="C273" s="6">
        <v>30.0</v>
      </c>
      <c r="D273" s="6">
        <v>19234.0</v>
      </c>
      <c r="E273" s="6">
        <v>4510.0</v>
      </c>
      <c r="F273" s="6">
        <v>1562.0</v>
      </c>
      <c r="G273" s="6">
        <v>606.0</v>
      </c>
      <c r="H273" s="6">
        <v>5375.0</v>
      </c>
      <c r="I273" s="6">
        <v>11988.0</v>
      </c>
      <c r="J273" s="6">
        <v>106.85</v>
      </c>
      <c r="K273" s="6" t="s">
        <v>50</v>
      </c>
    </row>
    <row r="274">
      <c r="A274" s="6" t="s">
        <v>15</v>
      </c>
      <c r="B274" s="6" t="s">
        <v>11</v>
      </c>
      <c r="C274" s="6">
        <v>25.0</v>
      </c>
      <c r="D274" s="6">
        <v>10793.0</v>
      </c>
      <c r="E274" s="6">
        <v>3886.0</v>
      </c>
      <c r="F274" s="6">
        <v>68.0</v>
      </c>
      <c r="G274" s="6">
        <v>459.0</v>
      </c>
      <c r="H274" s="6">
        <v>1819.0</v>
      </c>
      <c r="I274" s="6">
        <v>8678.0</v>
      </c>
      <c r="J274" s="6">
        <v>68.11</v>
      </c>
      <c r="K274" s="6" t="s">
        <v>50</v>
      </c>
    </row>
    <row r="275">
      <c r="A275" s="6" t="s">
        <v>12</v>
      </c>
      <c r="B275" s="6" t="s">
        <v>11</v>
      </c>
      <c r="C275" s="6">
        <v>30.0</v>
      </c>
      <c r="D275" s="6">
        <v>9523.0</v>
      </c>
      <c r="E275" s="6">
        <v>1164.0</v>
      </c>
      <c r="F275" s="6">
        <v>775.0</v>
      </c>
      <c r="G275" s="6">
        <v>494.0</v>
      </c>
      <c r="H275" s="6">
        <v>1641.0</v>
      </c>
      <c r="I275" s="6">
        <v>6698.0</v>
      </c>
      <c r="J275" s="6">
        <v>133.87</v>
      </c>
      <c r="K275" s="6" t="s">
        <v>51</v>
      </c>
    </row>
    <row r="276">
      <c r="A276" s="6" t="s">
        <v>15</v>
      </c>
      <c r="B276" s="6" t="s">
        <v>14</v>
      </c>
      <c r="C276" s="6">
        <v>25.0</v>
      </c>
      <c r="D276" s="6">
        <v>10571.0</v>
      </c>
      <c r="E276" s="6">
        <v>4300.0</v>
      </c>
      <c r="F276" s="6">
        <v>246.0</v>
      </c>
      <c r="G276" s="6">
        <v>655.0</v>
      </c>
      <c r="H276" s="6">
        <v>5127.0</v>
      </c>
      <c r="I276" s="6">
        <v>2273.0</v>
      </c>
      <c r="J276" s="6">
        <v>123.9</v>
      </c>
      <c r="K276" s="6" t="s">
        <v>51</v>
      </c>
    </row>
    <row r="277">
      <c r="A277" s="6" t="s">
        <v>14</v>
      </c>
      <c r="B277" s="6" t="s">
        <v>11</v>
      </c>
      <c r="C277" s="6">
        <v>20.0</v>
      </c>
      <c r="D277" s="6">
        <v>19947.0</v>
      </c>
      <c r="E277" s="6">
        <v>2013.0</v>
      </c>
      <c r="F277" s="6">
        <v>1964.0</v>
      </c>
      <c r="G277" s="6">
        <v>629.0</v>
      </c>
      <c r="H277" s="6">
        <v>7889.0</v>
      </c>
      <c r="I277" s="6">
        <v>12241.0</v>
      </c>
      <c r="J277" s="6">
        <v>109.56</v>
      </c>
      <c r="K277" s="6" t="s">
        <v>51</v>
      </c>
    </row>
    <row r="278">
      <c r="A278" s="6" t="s">
        <v>12</v>
      </c>
      <c r="B278" s="6" t="s">
        <v>13</v>
      </c>
      <c r="C278" s="6">
        <v>25.0</v>
      </c>
      <c r="D278" s="6">
        <v>14010.0</v>
      </c>
      <c r="E278" s="6">
        <v>1316.0</v>
      </c>
      <c r="F278" s="6">
        <v>1523.0</v>
      </c>
      <c r="G278" s="6">
        <v>1051.0</v>
      </c>
      <c r="H278" s="6">
        <v>3190.0</v>
      </c>
      <c r="I278" s="6">
        <v>18480.0</v>
      </c>
      <c r="J278" s="6">
        <v>98.76</v>
      </c>
      <c r="K278" s="6" t="s">
        <v>51</v>
      </c>
    </row>
    <row r="279">
      <c r="A279" s="6" t="s">
        <v>14</v>
      </c>
      <c r="B279" s="6" t="s">
        <v>15</v>
      </c>
      <c r="C279" s="6">
        <v>20.0</v>
      </c>
      <c r="D279" s="6">
        <v>15380.0</v>
      </c>
      <c r="E279" s="6">
        <v>2501.0</v>
      </c>
      <c r="F279" s="6">
        <v>608.0</v>
      </c>
      <c r="G279" s="6">
        <v>671.0</v>
      </c>
      <c r="H279" s="6">
        <v>7823.0</v>
      </c>
      <c r="I279" s="6">
        <v>10497.0</v>
      </c>
      <c r="J279" s="6">
        <v>124.58</v>
      </c>
      <c r="K279" s="6" t="s">
        <v>51</v>
      </c>
    </row>
    <row r="280">
      <c r="A280" s="6" t="s">
        <v>12</v>
      </c>
      <c r="B280" s="6" t="s">
        <v>13</v>
      </c>
      <c r="C280" s="6">
        <v>10.0</v>
      </c>
      <c r="D280" s="6">
        <v>14298.0</v>
      </c>
      <c r="E280" s="6">
        <v>1872.0</v>
      </c>
      <c r="F280" s="6">
        <v>1752.0</v>
      </c>
      <c r="G280" s="6">
        <v>767.0</v>
      </c>
      <c r="H280" s="6">
        <v>3755.0</v>
      </c>
      <c r="I280" s="6">
        <v>10107.0</v>
      </c>
      <c r="J280" s="6">
        <v>113.79</v>
      </c>
      <c r="K280" s="6" t="s">
        <v>51</v>
      </c>
    </row>
    <row r="281">
      <c r="A281" s="6" t="s">
        <v>13</v>
      </c>
      <c r="B281" s="6" t="s">
        <v>11</v>
      </c>
      <c r="C281" s="6">
        <v>25.0</v>
      </c>
      <c r="D281" s="6">
        <v>7224.0</v>
      </c>
      <c r="E281" s="6">
        <v>2060.0</v>
      </c>
      <c r="F281" s="6">
        <v>501.0</v>
      </c>
      <c r="G281" s="6">
        <v>298.0</v>
      </c>
      <c r="H281" s="6">
        <v>8781.0</v>
      </c>
      <c r="I281" s="6">
        <v>12273.0</v>
      </c>
      <c r="J281" s="6">
        <v>122.13</v>
      </c>
      <c r="K281" s="6" t="s">
        <v>50</v>
      </c>
    </row>
    <row r="282">
      <c r="A282" s="6" t="s">
        <v>11</v>
      </c>
      <c r="B282" s="6" t="s">
        <v>13</v>
      </c>
      <c r="C282" s="6">
        <v>30.0</v>
      </c>
      <c r="D282" s="6">
        <v>13389.0</v>
      </c>
      <c r="E282" s="6">
        <v>2880.0</v>
      </c>
      <c r="F282" s="6">
        <v>338.0</v>
      </c>
      <c r="G282" s="6">
        <v>1447.0</v>
      </c>
      <c r="H282" s="6">
        <v>5713.0</v>
      </c>
      <c r="I282" s="6">
        <v>9002.0</v>
      </c>
      <c r="J282" s="6">
        <v>98.82</v>
      </c>
      <c r="K282" s="6" t="s">
        <v>50</v>
      </c>
    </row>
    <row r="283">
      <c r="A283" s="6" t="s">
        <v>11</v>
      </c>
      <c r="B283" s="6" t="s">
        <v>11</v>
      </c>
      <c r="C283" s="6">
        <v>20.0</v>
      </c>
      <c r="D283" s="6">
        <v>15863.0</v>
      </c>
      <c r="E283" s="6">
        <v>4904.0</v>
      </c>
      <c r="F283" s="6">
        <v>1214.0</v>
      </c>
      <c r="G283" s="6">
        <v>730.0</v>
      </c>
      <c r="H283" s="6">
        <v>4608.0</v>
      </c>
      <c r="I283" s="6">
        <v>5247.0</v>
      </c>
      <c r="J283" s="6">
        <v>135.79</v>
      </c>
      <c r="K283" s="6" t="s">
        <v>51</v>
      </c>
    </row>
    <row r="284">
      <c r="A284" s="6" t="s">
        <v>14</v>
      </c>
      <c r="B284" s="6" t="s">
        <v>14</v>
      </c>
      <c r="C284" s="6">
        <v>30.0</v>
      </c>
      <c r="D284" s="6">
        <v>11091.0</v>
      </c>
      <c r="E284" s="6">
        <v>4846.0</v>
      </c>
      <c r="F284" s="6">
        <v>1157.0</v>
      </c>
      <c r="G284" s="6">
        <v>647.0</v>
      </c>
      <c r="H284" s="6">
        <v>3520.0</v>
      </c>
      <c r="I284" s="6">
        <v>10220.0</v>
      </c>
      <c r="J284" s="6">
        <v>123.34</v>
      </c>
      <c r="K284" s="6" t="s">
        <v>50</v>
      </c>
    </row>
    <row r="285">
      <c r="A285" s="6" t="s">
        <v>11</v>
      </c>
      <c r="B285" s="6" t="s">
        <v>13</v>
      </c>
      <c r="C285" s="6">
        <v>15.0</v>
      </c>
      <c r="D285" s="6">
        <v>16684.0</v>
      </c>
      <c r="E285" s="6">
        <v>2971.0</v>
      </c>
      <c r="F285" s="6">
        <v>1767.0</v>
      </c>
      <c r="G285" s="6">
        <v>244.0</v>
      </c>
      <c r="H285" s="6">
        <v>2357.0</v>
      </c>
      <c r="I285" s="6">
        <v>11703.0</v>
      </c>
      <c r="J285" s="6">
        <v>110.19</v>
      </c>
      <c r="K285" s="6" t="s">
        <v>51</v>
      </c>
    </row>
    <row r="286">
      <c r="A286" s="6" t="s">
        <v>14</v>
      </c>
      <c r="B286" s="6" t="s">
        <v>14</v>
      </c>
      <c r="C286" s="6">
        <v>20.0</v>
      </c>
      <c r="D286" s="6">
        <v>15640.0</v>
      </c>
      <c r="E286" s="6">
        <v>760.0</v>
      </c>
      <c r="F286" s="6">
        <v>440.0</v>
      </c>
      <c r="G286" s="6">
        <v>425.0</v>
      </c>
      <c r="H286" s="6">
        <v>9496.0</v>
      </c>
      <c r="I286" s="6">
        <v>16472.0</v>
      </c>
      <c r="J286" s="6">
        <v>125.12</v>
      </c>
      <c r="K286" s="6" t="s">
        <v>50</v>
      </c>
    </row>
    <row r="287">
      <c r="A287" s="6" t="s">
        <v>14</v>
      </c>
      <c r="B287" s="6" t="s">
        <v>14</v>
      </c>
      <c r="C287" s="6">
        <v>25.0</v>
      </c>
      <c r="D287" s="6">
        <v>13662.0</v>
      </c>
      <c r="E287" s="6">
        <v>2735.0</v>
      </c>
      <c r="F287" s="6">
        <v>1664.0</v>
      </c>
      <c r="G287" s="6">
        <v>947.0</v>
      </c>
      <c r="H287" s="6">
        <v>9636.0</v>
      </c>
      <c r="I287" s="6">
        <v>17654.0</v>
      </c>
      <c r="J287" s="6">
        <v>91.62</v>
      </c>
      <c r="K287" s="6" t="s">
        <v>51</v>
      </c>
    </row>
    <row r="288">
      <c r="A288" s="6" t="s">
        <v>14</v>
      </c>
      <c r="B288" s="6" t="s">
        <v>12</v>
      </c>
      <c r="C288" s="6">
        <v>20.0</v>
      </c>
      <c r="D288" s="6">
        <v>11361.0</v>
      </c>
      <c r="E288" s="6">
        <v>2429.0</v>
      </c>
      <c r="F288" s="6">
        <v>264.0</v>
      </c>
      <c r="G288" s="6">
        <v>508.0</v>
      </c>
      <c r="H288" s="6">
        <v>3289.0</v>
      </c>
      <c r="I288" s="6">
        <v>18570.0</v>
      </c>
      <c r="J288" s="6">
        <v>76.65</v>
      </c>
      <c r="K288" s="6" t="s">
        <v>50</v>
      </c>
    </row>
    <row r="289">
      <c r="A289" s="6" t="s">
        <v>11</v>
      </c>
      <c r="B289" s="6" t="s">
        <v>11</v>
      </c>
      <c r="C289" s="6">
        <v>30.0</v>
      </c>
      <c r="D289" s="6">
        <v>6948.0</v>
      </c>
      <c r="E289" s="6">
        <v>4054.0</v>
      </c>
      <c r="F289" s="6">
        <v>1599.0</v>
      </c>
      <c r="G289" s="6">
        <v>983.0</v>
      </c>
      <c r="H289" s="6">
        <v>4375.0</v>
      </c>
      <c r="I289" s="6">
        <v>13392.0</v>
      </c>
      <c r="J289" s="6">
        <v>106.43</v>
      </c>
      <c r="K289" s="6" t="s">
        <v>50</v>
      </c>
    </row>
    <row r="290">
      <c r="A290" s="6" t="s">
        <v>14</v>
      </c>
      <c r="B290" s="6" t="s">
        <v>15</v>
      </c>
      <c r="C290" s="6">
        <v>10.0</v>
      </c>
      <c r="D290" s="6">
        <v>18216.0</v>
      </c>
      <c r="E290" s="6">
        <v>2550.0</v>
      </c>
      <c r="F290" s="6">
        <v>264.0</v>
      </c>
      <c r="G290" s="6">
        <v>643.0</v>
      </c>
      <c r="H290" s="6">
        <v>8105.0</v>
      </c>
      <c r="I290" s="6">
        <v>12956.0</v>
      </c>
      <c r="J290" s="6">
        <v>98.86</v>
      </c>
      <c r="K290" s="6" t="s">
        <v>51</v>
      </c>
    </row>
    <row r="291">
      <c r="A291" s="6" t="s">
        <v>11</v>
      </c>
      <c r="B291" s="6" t="s">
        <v>11</v>
      </c>
      <c r="C291" s="6">
        <v>20.0</v>
      </c>
      <c r="D291" s="6">
        <v>17091.0</v>
      </c>
      <c r="E291" s="6">
        <v>1232.0</v>
      </c>
      <c r="F291" s="6">
        <v>1476.0</v>
      </c>
      <c r="G291" s="6">
        <v>1029.0</v>
      </c>
      <c r="H291" s="6">
        <v>8635.0</v>
      </c>
      <c r="I291" s="6">
        <v>16641.0</v>
      </c>
      <c r="J291" s="6">
        <v>96.05</v>
      </c>
      <c r="K291" s="6" t="s">
        <v>51</v>
      </c>
    </row>
    <row r="292">
      <c r="A292" s="6" t="s">
        <v>14</v>
      </c>
      <c r="B292" s="6" t="s">
        <v>15</v>
      </c>
      <c r="C292" s="6">
        <v>25.0</v>
      </c>
      <c r="D292" s="6">
        <v>15202.0</v>
      </c>
      <c r="E292" s="6">
        <v>799.0</v>
      </c>
      <c r="F292" s="6">
        <v>177.0</v>
      </c>
      <c r="G292" s="6">
        <v>124.0</v>
      </c>
      <c r="H292" s="6">
        <v>6555.0</v>
      </c>
      <c r="I292" s="6">
        <v>14998.0</v>
      </c>
      <c r="J292" s="6">
        <v>124.33</v>
      </c>
      <c r="K292" s="6" t="s">
        <v>50</v>
      </c>
    </row>
    <row r="293">
      <c r="A293" s="6" t="s">
        <v>15</v>
      </c>
      <c r="B293" s="6" t="s">
        <v>11</v>
      </c>
      <c r="C293" s="6">
        <v>15.0</v>
      </c>
      <c r="D293" s="6">
        <v>16992.0</v>
      </c>
      <c r="E293" s="6">
        <v>2138.0</v>
      </c>
      <c r="F293" s="6">
        <v>1895.0</v>
      </c>
      <c r="G293" s="6">
        <v>941.0</v>
      </c>
      <c r="H293" s="6">
        <v>4382.0</v>
      </c>
      <c r="I293" s="6">
        <v>7305.0</v>
      </c>
      <c r="J293" s="6">
        <v>103.34</v>
      </c>
      <c r="K293" s="6" t="s">
        <v>50</v>
      </c>
    </row>
    <row r="294">
      <c r="A294" s="6" t="s">
        <v>14</v>
      </c>
      <c r="B294" s="6" t="s">
        <v>14</v>
      </c>
      <c r="C294" s="6">
        <v>10.0</v>
      </c>
      <c r="D294" s="6">
        <v>19967.0</v>
      </c>
      <c r="E294" s="6">
        <v>4747.0</v>
      </c>
      <c r="F294" s="6">
        <v>1550.0</v>
      </c>
      <c r="G294" s="6">
        <v>683.0</v>
      </c>
      <c r="H294" s="6">
        <v>7675.0</v>
      </c>
      <c r="I294" s="6">
        <v>19782.0</v>
      </c>
      <c r="J294" s="6">
        <v>105.27</v>
      </c>
      <c r="K294" s="6" t="s">
        <v>51</v>
      </c>
    </row>
    <row r="295">
      <c r="A295" s="6" t="s">
        <v>12</v>
      </c>
      <c r="B295" s="6" t="s">
        <v>13</v>
      </c>
      <c r="C295" s="6">
        <v>15.0</v>
      </c>
      <c r="D295" s="6">
        <v>12094.0</v>
      </c>
      <c r="E295" s="6">
        <v>4600.0</v>
      </c>
      <c r="F295" s="6">
        <v>809.0</v>
      </c>
      <c r="G295" s="6">
        <v>1267.0</v>
      </c>
      <c r="H295" s="6">
        <v>7629.0</v>
      </c>
      <c r="I295" s="6">
        <v>13721.0</v>
      </c>
      <c r="J295" s="6">
        <v>93.46</v>
      </c>
      <c r="K295" s="6" t="s">
        <v>50</v>
      </c>
    </row>
    <row r="296">
      <c r="A296" s="6" t="s">
        <v>14</v>
      </c>
      <c r="B296" s="6" t="s">
        <v>13</v>
      </c>
      <c r="C296" s="6">
        <v>20.0</v>
      </c>
      <c r="D296" s="6">
        <v>18193.0</v>
      </c>
      <c r="E296" s="6">
        <v>4657.0</v>
      </c>
      <c r="F296" s="6">
        <v>453.0</v>
      </c>
      <c r="G296" s="6">
        <v>1044.0</v>
      </c>
      <c r="H296" s="6">
        <v>5521.0</v>
      </c>
      <c r="I296" s="6">
        <v>7995.0</v>
      </c>
      <c r="J296" s="6">
        <v>117.62</v>
      </c>
      <c r="K296" s="6" t="s">
        <v>51</v>
      </c>
    </row>
    <row r="297">
      <c r="A297" s="6" t="s">
        <v>13</v>
      </c>
      <c r="B297" s="6" t="s">
        <v>12</v>
      </c>
      <c r="C297" s="6">
        <v>30.0</v>
      </c>
      <c r="D297" s="6">
        <v>11318.0</v>
      </c>
      <c r="E297" s="6">
        <v>2279.0</v>
      </c>
      <c r="F297" s="6">
        <v>1102.0</v>
      </c>
      <c r="G297" s="6">
        <v>215.0</v>
      </c>
      <c r="H297" s="6">
        <v>5235.0</v>
      </c>
      <c r="I297" s="6">
        <v>13427.0</v>
      </c>
      <c r="J297" s="6">
        <v>114.04</v>
      </c>
      <c r="K297" s="6" t="s">
        <v>51</v>
      </c>
    </row>
    <row r="298">
      <c r="A298" s="6" t="s">
        <v>14</v>
      </c>
      <c r="B298" s="6" t="s">
        <v>15</v>
      </c>
      <c r="C298" s="6">
        <v>30.0</v>
      </c>
      <c r="D298" s="6">
        <v>17310.0</v>
      </c>
      <c r="E298" s="6">
        <v>2938.0</v>
      </c>
      <c r="F298" s="6">
        <v>1865.0</v>
      </c>
      <c r="G298" s="6">
        <v>256.0</v>
      </c>
      <c r="H298" s="6">
        <v>2887.0</v>
      </c>
      <c r="I298" s="6">
        <v>14782.0</v>
      </c>
      <c r="J298" s="6">
        <v>117.47</v>
      </c>
      <c r="K298" s="6" t="s">
        <v>50</v>
      </c>
    </row>
    <row r="299">
      <c r="A299" s="6" t="s">
        <v>12</v>
      </c>
      <c r="B299" s="6" t="s">
        <v>15</v>
      </c>
      <c r="C299" s="6">
        <v>25.0</v>
      </c>
      <c r="D299" s="6">
        <v>8796.0</v>
      </c>
      <c r="E299" s="6">
        <v>973.0</v>
      </c>
      <c r="F299" s="6">
        <v>387.0</v>
      </c>
      <c r="G299" s="6">
        <v>767.0</v>
      </c>
      <c r="H299" s="6">
        <v>7082.0</v>
      </c>
      <c r="I299" s="6">
        <v>3230.0</v>
      </c>
      <c r="J299" s="6">
        <v>90.05</v>
      </c>
      <c r="K299" s="6" t="s">
        <v>51</v>
      </c>
    </row>
    <row r="300">
      <c r="A300" s="6" t="s">
        <v>12</v>
      </c>
      <c r="B300" s="6" t="s">
        <v>15</v>
      </c>
      <c r="C300" s="6">
        <v>30.0</v>
      </c>
      <c r="D300" s="6">
        <v>17180.0</v>
      </c>
      <c r="E300" s="6">
        <v>183.0</v>
      </c>
      <c r="F300" s="6">
        <v>880.0</v>
      </c>
      <c r="G300" s="6">
        <v>1160.0</v>
      </c>
      <c r="H300" s="6">
        <v>9633.0</v>
      </c>
      <c r="I300" s="6">
        <v>7511.0</v>
      </c>
      <c r="J300" s="6">
        <v>126.08</v>
      </c>
      <c r="K300" s="6" t="s">
        <v>50</v>
      </c>
    </row>
    <row r="301">
      <c r="A301" s="6" t="s">
        <v>11</v>
      </c>
      <c r="B301" s="6" t="s">
        <v>14</v>
      </c>
      <c r="C301" s="6">
        <v>10.0</v>
      </c>
      <c r="D301" s="6">
        <v>5234.0</v>
      </c>
      <c r="E301" s="6">
        <v>1522.0</v>
      </c>
      <c r="F301" s="6">
        <v>763.0</v>
      </c>
      <c r="G301" s="6">
        <v>156.0</v>
      </c>
      <c r="H301" s="6">
        <v>6366.0</v>
      </c>
      <c r="I301" s="6">
        <v>17512.0</v>
      </c>
      <c r="J301" s="6">
        <v>136.78</v>
      </c>
      <c r="K301" s="6" t="s">
        <v>50</v>
      </c>
    </row>
  </sheetData>
  <mergeCells count="1">
    <mergeCell ref="N31:N32"/>
  </mergeCells>
  <drawing r:id="rId1"/>
</worksheet>
</file>